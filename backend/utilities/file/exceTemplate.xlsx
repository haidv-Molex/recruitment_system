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kochind-my.sharepoint.com/personal/hai_do_molex_com/Documents/Documents/Custom Office Templates/"/>
    </mc:Choice>
  </mc:AlternateContent>
  <xr:revisionPtr revIDLastSave="0" documentId="13_ncr:1_{1AEA38C8-9BC6-45BB-9C77-F5FD5A73019B}" xr6:coauthVersionLast="47" xr6:coauthVersionMax="47" xr10:uidLastSave="{00000000-0000-0000-0000-000000000000}"/>
  <bookViews>
    <workbookView xWindow="-110" yWindow="-110" windowWidth="19420" windowHeight="11500" tabRatio="843" xr2:uid="{00000000-000D-0000-FFFF-FFFF00000000}"/>
  </bookViews>
  <sheets>
    <sheet name="IDL tracking" sheetId="2" r:id="rId1"/>
    <sheet name="Database" sheetId="3" r:id="rId2"/>
    <sheet name="Data Validation" sheetId="9" state="hidden" r:id="rId3"/>
  </sheets>
  <definedNames>
    <definedName name="_xlnm._FilterDatabase" localSheetId="1" hidden="1">Database!$A$1:$Z$17</definedName>
    <definedName name="_xlnm._FilterDatabase" localSheetId="0" hidden="1">'IDL tracking'!$H$2:$Z$3</definedName>
    <definedName name="IQ_CQ">5000</definedName>
    <definedName name="IQ_CY">10000</definedName>
    <definedName name="IQ_CH">110000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46036.9115740741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H3" i="3"/>
  <c r="I3" i="3"/>
  <c r="J3" i="3"/>
  <c r="L3" i="3"/>
  <c r="H4" i="3"/>
  <c r="I4" i="3"/>
  <c r="J4" i="3"/>
  <c r="L4" i="3"/>
  <c r="H5" i="3"/>
  <c r="I5" i="3"/>
  <c r="J5" i="3"/>
  <c r="L5" i="3"/>
  <c r="H6" i="3"/>
  <c r="I6" i="3"/>
  <c r="J6" i="3"/>
  <c r="L6" i="3"/>
  <c r="H7" i="3"/>
  <c r="I7" i="3"/>
  <c r="J7" i="3"/>
  <c r="L7" i="3"/>
  <c r="H8" i="3"/>
  <c r="I8" i="3"/>
  <c r="J8" i="3"/>
  <c r="L8" i="3"/>
  <c r="H9" i="3"/>
  <c r="I9" i="3"/>
  <c r="J9" i="3"/>
  <c r="L9" i="3"/>
  <c r="H10" i="3"/>
  <c r="I10" i="3"/>
  <c r="J10" i="3"/>
  <c r="L10" i="3"/>
  <c r="H11" i="3"/>
  <c r="I11" i="3"/>
  <c r="J11" i="3"/>
  <c r="L11" i="3"/>
  <c r="H12" i="3"/>
  <c r="I12" i="3"/>
  <c r="J12" i="3"/>
  <c r="L12" i="3"/>
  <c r="H13" i="3"/>
  <c r="I13" i="3"/>
  <c r="J13" i="3"/>
  <c r="L13" i="3"/>
  <c r="H14" i="3"/>
  <c r="I14" i="3"/>
  <c r="J14" i="3"/>
  <c r="L14" i="3"/>
  <c r="H15" i="3"/>
  <c r="I15" i="3"/>
  <c r="J15" i="3"/>
  <c r="L15" i="3"/>
  <c r="H16" i="3"/>
  <c r="I16" i="3"/>
  <c r="J16" i="3"/>
  <c r="L16" i="3"/>
  <c r="H17" i="3"/>
  <c r="I17" i="3"/>
  <c r="J17" i="3"/>
  <c r="L17" i="3"/>
  <c r="L2" i="3" l="1"/>
  <c r="J2" i="3"/>
  <c r="I2" i="3"/>
  <c r="H2" i="3"/>
  <c r="B2" i="3"/>
  <c r="D1" i="2" l="1"/>
  <c r="X3" i="2" l="1" a="1"/>
  <c r="X3" i="2" s="1"/>
  <c r="W3" i="2" a="1"/>
  <c r="W3" i="2" s="1"/>
  <c r="V3" i="2" a="1"/>
  <c r="V3" i="2" s="1"/>
  <c r="U3" i="2" a="1"/>
  <c r="U3" i="2" s="1"/>
  <c r="T3" i="2"/>
  <c r="S3" i="2"/>
  <c r="R3" i="2"/>
  <c r="Q3" i="2"/>
  <c r="P3" i="2"/>
  <c r="O3" i="2"/>
  <c r="M3" i="2" l="1"/>
  <c r="N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Thi Thuong Thao</author>
  </authors>
  <commentList>
    <comment ref="A2" authorId="0" shapeId="0" xr:uid="{4898BB78-F54D-4FCE-A6A0-82C2C47D9291}">
      <text>
        <r>
          <rPr>
            <b/>
            <sz val="9"/>
            <color indexed="81"/>
            <rFont val="Tahoma"/>
            <family val="2"/>
          </rPr>
          <t>Kéo J tiếp theo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Thi Thuong Thao</author>
  </authors>
  <commentList>
    <comment ref="E1" authorId="0" shapeId="0" xr:uid="{317897DE-A5B0-4BB7-83E5-3553837F7816}">
      <text>
        <r>
          <rPr>
            <b/>
            <sz val="9"/>
            <color indexed="81"/>
            <rFont val="Tahoma"/>
            <family val="2"/>
          </rPr>
          <t>Viết đúng định dạng để check trùng</t>
        </r>
        <r>
          <rPr>
            <sz val="9"/>
            <color indexed="81"/>
            <rFont val="Tahoma"/>
            <family val="2"/>
          </rPr>
          <t xml:space="preserve">
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<sst xmlns="http://schemas.openxmlformats.org/spreadsheetml/2006/main" count="312" uniqueCount="207">
  <si>
    <t>Interview Fail</t>
  </si>
  <si>
    <t>OSBU</t>
  </si>
  <si>
    <t>Job Code</t>
  </si>
  <si>
    <t>Project</t>
  </si>
  <si>
    <t>Dept.</t>
  </si>
  <si>
    <t>HC Requested</t>
  </si>
  <si>
    <t>Job title</t>
  </si>
  <si>
    <t>EE Level</t>
  </si>
  <si>
    <t>Sites</t>
  </si>
  <si>
    <t>Hiring manager</t>
  </si>
  <si>
    <t>HRBP</t>
  </si>
  <si>
    <t>Recruiter</t>
  </si>
  <si>
    <t>MyHR request date</t>
  </si>
  <si>
    <t>Expected onboard date</t>
  </si>
  <si>
    <t>Status</t>
  </si>
  <si>
    <t>CV Sent</t>
  </si>
  <si>
    <t>Interview</t>
  </si>
  <si>
    <t>Offered</t>
  </si>
  <si>
    <t>Offer Accepted</t>
  </si>
  <si>
    <t>Onboarded</t>
  </si>
  <si>
    <t>Offer Rejected</t>
  </si>
  <si>
    <t>Source</t>
  </si>
  <si>
    <t>Candidate Name</t>
  </si>
  <si>
    <t>Onboard Date</t>
  </si>
  <si>
    <t>Offer Date</t>
  </si>
  <si>
    <t>Note</t>
  </si>
  <si>
    <t>J001</t>
  </si>
  <si>
    <t>AS</t>
  </si>
  <si>
    <t>Engineer, Production</t>
  </si>
  <si>
    <t>Engineer</t>
  </si>
  <si>
    <t>MXV</t>
  </si>
  <si>
    <t>Nguyễn Lê Hoàng</t>
  </si>
  <si>
    <t>Annie</t>
  </si>
  <si>
    <t>Supervisor</t>
  </si>
  <si>
    <t>Hein</t>
  </si>
  <si>
    <t>Technician</t>
  </si>
  <si>
    <t>FM/EHS</t>
  </si>
  <si>
    <t>HR</t>
  </si>
  <si>
    <t>Professional</t>
  </si>
  <si>
    <t>MD</t>
  </si>
  <si>
    <t>ME</t>
  </si>
  <si>
    <t>Intern</t>
  </si>
  <si>
    <t>QC</t>
  </si>
  <si>
    <t>STP</t>
  </si>
  <si>
    <t>CA</t>
  </si>
  <si>
    <t>BOD</t>
  </si>
  <si>
    <t>Manager</t>
  </si>
  <si>
    <t>Jun</t>
  </si>
  <si>
    <t>GA</t>
  </si>
  <si>
    <t>LOG</t>
  </si>
  <si>
    <t>Tracy</t>
  </si>
  <si>
    <t>OTC</t>
  </si>
  <si>
    <t>PUR</t>
  </si>
  <si>
    <t>PC</t>
  </si>
  <si>
    <t>PLT</t>
  </si>
  <si>
    <t>Kim</t>
  </si>
  <si>
    <t>Thanh</t>
  </si>
  <si>
    <t>Internal transfer</t>
  </si>
  <si>
    <t>In progress</t>
  </si>
  <si>
    <t>Input date (dd/mm/yyyy)</t>
  </si>
  <si>
    <t>Department</t>
  </si>
  <si>
    <t>Name</t>
  </si>
  <si>
    <t>Email</t>
  </si>
  <si>
    <t>Phone number</t>
  </si>
  <si>
    <t>Job code</t>
  </si>
  <si>
    <t>DL/IDL</t>
  </si>
  <si>
    <t>Onboarding Date (DD/MM/YYYY)</t>
  </si>
  <si>
    <t>Offer Sent date
(DD/MM/YYYY)</t>
  </si>
  <si>
    <t>Mã nhân viên</t>
  </si>
  <si>
    <t>Người giới thiệu</t>
  </si>
  <si>
    <t>Bộ phận</t>
  </si>
  <si>
    <t>Current salary 
(Gross M VND)</t>
  </si>
  <si>
    <t>Expected salary
(Gross M VND)</t>
  </si>
  <si>
    <t>Candidate result feedback date</t>
  </si>
  <si>
    <t>Headhunt Agency</t>
  </si>
  <si>
    <t>Targeted company</t>
  </si>
  <si>
    <t>Targeted company name</t>
  </si>
  <si>
    <t>Internal referral</t>
  </si>
  <si>
    <t>No</t>
  </si>
  <si>
    <t>Linkedin Job Post</t>
  </si>
  <si>
    <t>Network</t>
  </si>
  <si>
    <t>CV Fail</t>
  </si>
  <si>
    <t>Vietnamworks Job Post</t>
  </si>
  <si>
    <t>Vietnamworks Search</t>
  </si>
  <si>
    <t>Facebook</t>
  </si>
  <si>
    <t>Searching</t>
  </si>
  <si>
    <t>Hold</t>
  </si>
  <si>
    <t>Linkedin Search</t>
  </si>
  <si>
    <t>TopCV Search</t>
  </si>
  <si>
    <t>TopCV Job Post</t>
  </si>
  <si>
    <t>Headhunt</t>
  </si>
  <si>
    <t>Yes</t>
  </si>
  <si>
    <t>Others</t>
  </si>
  <si>
    <t>Supporting</t>
  </si>
  <si>
    <t>Adecco</t>
  </si>
  <si>
    <t>Manpower</t>
  </si>
  <si>
    <t>AsiaHr</t>
  </si>
  <si>
    <t>Foxconn</t>
  </si>
  <si>
    <t>Leader</t>
  </si>
  <si>
    <t>Operation</t>
  </si>
  <si>
    <t>No-show</t>
  </si>
  <si>
    <t>Navigos</t>
  </si>
  <si>
    <t>Quality</t>
  </si>
  <si>
    <t>Engineering</t>
  </si>
  <si>
    <t>Technical Operator</t>
  </si>
  <si>
    <t>Operator</t>
  </si>
  <si>
    <t>Career Viet</t>
  </si>
  <si>
    <t>Talentrader</t>
  </si>
  <si>
    <t>LG Innotek</t>
  </si>
  <si>
    <t>Offer</t>
  </si>
  <si>
    <t>40Hrs</t>
  </si>
  <si>
    <t>Withdraw</t>
  </si>
  <si>
    <t>EV search</t>
  </si>
  <si>
    <t>Prosworks</t>
  </si>
  <si>
    <t>Persol</t>
  </si>
  <si>
    <t>Job C</t>
  </si>
  <si>
    <t>SK</t>
  </si>
  <si>
    <t>0903442885</t>
  </si>
  <si>
    <t>Dept</t>
  </si>
  <si>
    <t>PIC</t>
  </si>
  <si>
    <t>Final Status</t>
  </si>
  <si>
    <t>Function</t>
  </si>
  <si>
    <t>Recruitment costs categories</t>
  </si>
  <si>
    <t>Recruitment Status</t>
  </si>
  <si>
    <t>Data source</t>
  </si>
  <si>
    <t>Job Posting</t>
  </si>
  <si>
    <t>D</t>
  </si>
  <si>
    <t>FB Advertising</t>
  </si>
  <si>
    <t>S</t>
  </si>
  <si>
    <t>Internal Referral</t>
  </si>
  <si>
    <t>Job Fair</t>
  </si>
  <si>
    <t>Overdue</t>
  </si>
  <si>
    <t>Branding Activities</t>
  </si>
  <si>
    <t>Agency Fees</t>
  </si>
  <si>
    <t>SC</t>
  </si>
  <si>
    <t>Expected onboard date:</t>
  </si>
  <si>
    <t>Tuyển mới</t>
  </si>
  <si>
    <t>&lt;=15</t>
  </si>
  <si>
    <t>1 tuần</t>
  </si>
  <si>
    <t>16&lt;x&lt;=30</t>
  </si>
  <si>
    <t>2 tuần</t>
  </si>
  <si>
    <t>31&lt;x&lt;=45</t>
  </si>
  <si>
    <t>3 tuần</t>
  </si>
  <si>
    <t>&gt;45</t>
  </si>
  <si>
    <t>4 tuần</t>
  </si>
  <si>
    <t>Tuyển bù</t>
  </si>
  <si>
    <t>Đơn đủ</t>
  </si>
  <si>
    <t>Đơn thiếu</t>
  </si>
  <si>
    <t>Vendor</t>
  </si>
  <si>
    <t>PW</t>
  </si>
  <si>
    <t>VNW</t>
  </si>
  <si>
    <t>Hoang.Huong0@molex.com</t>
  </si>
  <si>
    <t>Molex@123</t>
  </si>
  <si>
    <t>Top CV</t>
  </si>
  <si>
    <t>ngocanh.hoang@kochcc.com</t>
  </si>
  <si>
    <t>Molex12345$</t>
  </si>
  <si>
    <t>V6222</t>
  </si>
  <si>
    <t>Nguyễn Thị Thương Thảo</t>
  </si>
  <si>
    <t>Project Segment</t>
  </si>
  <si>
    <t>Nguyễn Văn A</t>
  </si>
  <si>
    <t>Nguyễn Văn B</t>
  </si>
  <si>
    <t>Nguyễn Văn C</t>
  </si>
  <si>
    <t>Nguyễn Văn D</t>
  </si>
  <si>
    <t>Nguyễn Văn E</t>
  </si>
  <si>
    <t>Hoàng Thị A</t>
  </si>
  <si>
    <t>Hoàng Thị B</t>
  </si>
  <si>
    <t>Hoàng Thị C</t>
  </si>
  <si>
    <t>Hoàng Thị D</t>
  </si>
  <si>
    <t>Hoàng Thị E</t>
  </si>
  <si>
    <t>Hoàng Thị F</t>
  </si>
  <si>
    <t>Lê Văn A</t>
  </si>
  <si>
    <t>Lê Văn B</t>
  </si>
  <si>
    <t>Lê Văn C</t>
  </si>
  <si>
    <t>Lê Văn D</t>
  </si>
  <si>
    <t>Lê Văn E</t>
  </si>
  <si>
    <t>n Văn A@gmail.com</t>
  </si>
  <si>
    <t>n Văn B@gmail.com</t>
  </si>
  <si>
    <t>n Văn C@gmail.com</t>
  </si>
  <si>
    <t>n Văn D@gmail.com</t>
  </si>
  <si>
    <t>n Văn E@gmail.com</t>
  </si>
  <si>
    <t>g Thị A@gmail.com</t>
  </si>
  <si>
    <t>g Thị B@gmail.com</t>
  </si>
  <si>
    <t>g Thị C@gmail.com</t>
  </si>
  <si>
    <t>g Thị D@gmail.com</t>
  </si>
  <si>
    <t>g Thị E@gmail.com</t>
  </si>
  <si>
    <t>g Thị F@gmail.com</t>
  </si>
  <si>
    <t>ê Văn A@gmail.com</t>
  </si>
  <si>
    <t>ê Văn B@gmail.com</t>
  </si>
  <si>
    <t>ê Văn C@gmail.com</t>
  </si>
  <si>
    <t>ê Văn D@gmail.com</t>
  </si>
  <si>
    <t>ê Văn E@gmail.com</t>
  </si>
  <si>
    <t>0903442886</t>
  </si>
  <si>
    <t>0903442887</t>
  </si>
  <si>
    <t>0903442888</t>
  </si>
  <si>
    <t>0903442889</t>
  </si>
  <si>
    <t>0903442890</t>
  </si>
  <si>
    <t>0903442891</t>
  </si>
  <si>
    <t>0903442892</t>
  </si>
  <si>
    <t>0903442893</t>
  </si>
  <si>
    <t>0903442894</t>
  </si>
  <si>
    <t>0903442895</t>
  </si>
  <si>
    <t>0903442896</t>
  </si>
  <si>
    <t>0903442897</t>
  </si>
  <si>
    <t>0903442898</t>
  </si>
  <si>
    <t>0903442899</t>
  </si>
  <si>
    <t>0903442900</t>
  </si>
  <si>
    <t>DSS Talent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</si>
</sst>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[$-409]d\-mmm;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0"/>
      <color theme="0"/>
      <name val="Segoe UI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rgb="FFFF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B4C6E7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E2EFD9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4" fillId="0" borderId="4"/>
    <xf numFmtId="9" fontId="4" fillId="0" borderId="4" applyFont="0" applyFill="0" applyBorder="0" applyAlignment="0" applyProtection="0"/>
    <xf numFmtId="0" fontId="3" fillId="0" borderId="4"/>
    <xf numFmtId="0" fontId="2" fillId="0" borderId="4"/>
    <xf numFmtId="9" fontId="1" fillId="0" borderId="4" applyFont="0" applyFill="0" applyBorder="0" applyAlignment="0" applyProtection="0"/>
    <xf numFmtId="0" fontId="1" fillId="0" borderId="4"/>
  </cellStyleXfs>
  <cellXfs count="101">
    <xf numFmtId="0" fontId="0" fillId="0" borderId="0" xfId="0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/>
    <xf numFmtId="164" fontId="7" fillId="2" borderId="0" xfId="0" applyNumberFormat="1" applyFont="1" applyFill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13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164" fontId="12" fillId="0" borderId="1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0" fontId="6" fillId="5" borderId="0" xfId="0" applyFont="1" applyFill="1"/>
    <xf numFmtId="0" fontId="10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14" fontId="9" fillId="5" borderId="3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164" fontId="7" fillId="4" borderId="8" xfId="0" applyNumberFormat="1" applyFont="1" applyFill="1" applyBorder="1" applyAlignment="1">
      <alignment horizontal="center" vertical="center" wrapText="1"/>
    </xf>
    <xf numFmtId="14" fontId="7" fillId="4" borderId="8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164" fontId="16" fillId="0" borderId="10" xfId="0" applyNumberFormat="1" applyFont="1" applyBorder="1" applyAlignment="1">
      <alignment vertical="center" wrapText="1"/>
    </xf>
    <xf numFmtId="2" fontId="16" fillId="0" borderId="10" xfId="0" applyNumberFormat="1" applyFont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9" fontId="11" fillId="2" borderId="4" xfId="1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14" fontId="9" fillId="0" borderId="7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14" fontId="9" fillId="0" borderId="4" xfId="0" applyNumberFormat="1" applyFont="1" applyBorder="1" applyAlignment="1">
      <alignment horizontal="left" vertical="center"/>
    </xf>
    <xf numFmtId="0" fontId="9" fillId="0" borderId="4" xfId="0" applyFont="1" applyBorder="1"/>
    <xf numFmtId="0" fontId="9" fillId="5" borderId="7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5" borderId="4" xfId="0" applyFont="1" applyFill="1" applyBorder="1"/>
    <xf numFmtId="164" fontId="7" fillId="0" borderId="10" xfId="0" applyNumberFormat="1" applyFont="1" applyBorder="1" applyAlignment="1">
      <alignment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49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4" fontId="9" fillId="0" borderId="6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9" fontId="13" fillId="2" borderId="0" xfId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4" fontId="7" fillId="8" borderId="8" xfId="0" applyNumberFormat="1" applyFont="1" applyFill="1" applyBorder="1" applyAlignment="1">
      <alignment horizontal="center" vertical="center" wrapText="1"/>
    </xf>
    <xf numFmtId="0" fontId="18" fillId="0" borderId="0" xfId="2"/>
    <xf numFmtId="0" fontId="9" fillId="0" borderId="2" xfId="0" applyFont="1" applyBorder="1" applyAlignment="1">
      <alignment horizontal="center" vertical="center"/>
    </xf>
    <xf numFmtId="9" fontId="13" fillId="2" borderId="0" xfId="1" applyFont="1" applyFill="1" applyAlignment="1">
      <alignment horizontal="center" vertical="top" wrapText="1"/>
    </xf>
    <xf numFmtId="0" fontId="9" fillId="5" borderId="7" xfId="0" applyFont="1" applyFill="1" applyBorder="1" applyAlignment="1">
      <alignment horizontal="center" vertical="center"/>
    </xf>
    <xf numFmtId="0" fontId="20" fillId="0" borderId="11" xfId="2" applyFont="1" applyBorder="1" applyAlignment="1">
      <alignment vertical="center"/>
    </xf>
    <xf numFmtId="0" fontId="0" fillId="0" borderId="0" xfId="0"/>
  </cellXfs>
  <cellStyles count="9">
    <cellStyle name="Hyperlink" xfId="2" builtinId="8"/>
    <cellStyle name="Normal" xfId="0" builtinId="0"/>
    <cellStyle name="Normal 2" xfId="3" xr:uid="{4B5C34D6-874B-4B91-81D7-5E08C24CE0C2}"/>
    <cellStyle name="Normal 3" xfId="5" xr:uid="{4BDA8434-222F-478F-A368-065761ACE8EA}"/>
    <cellStyle name="Normal 4" xfId="6" xr:uid="{2F760190-9CF2-49DA-B634-9B85AF5CBABF}"/>
    <cellStyle name="Normal 5" xfId="8" xr:uid="{5C747FD6-FE63-46F3-B199-90747BE86459}"/>
    <cellStyle name="Percent" xfId="1" builtinId="5"/>
    <cellStyle name="Percent 2" xfId="4" xr:uid="{4BDF825C-192A-435C-8317-15C605A55F64}"/>
    <cellStyle name="Percent 3" xfId="7" xr:uid="{11F4893A-26A5-47CF-8AAB-B875142A50D3}"/>
  </cellStyles>
  <dxfs count="4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rgb="FFFBE4D5"/>
          <bgColor rgb="FFFBE4D5"/>
        </patternFill>
      </fill>
    </dxf>
    <dxf>
      <font>
        <color theme="1"/>
      </font>
      <fill>
        <patternFill patternType="solid">
          <fgColor rgb="FFF4B083"/>
          <bgColor rgb="FFF4B083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ill>
        <patternFill patternType="solid">
          <fgColor rgb="FFFFC000"/>
          <bgColor rgb="FF000000"/>
        </patternFill>
      </fill>
    </dxf>
  </dxfs>
  <tableStyles count="1" defaultTableStyle="TableStyleMedium2" defaultPivotStyle="PivotStyleLight16">
    <tableStyle name="Invisible" pivot="0" table="0" count="0" xr9:uid="{21EB810D-B38B-4369-9C8F-0A7B42F6D2E8}"/>
  </tableStyles>
  <colors>
    <mruColors>
      <color rgb="FFFFF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" id="{A8170691-110D-4764-9099-6B63E81C727B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8E70C-B671-4F45-8B55-F40CBDE77729}" name="Table1" displayName="Table1" ref="A2:Y3" totalsRowShown="0" tableBorderDxfId="41">
  <autoFilter ref="A2:Y3" xr:uid="{6D78E70C-B671-4F45-8B55-F40CBDE77729}"/>
  <tableColumns count="25">
    <tableColumn id="1" xr3:uid="{6D9C5207-C92D-425D-B450-BD068251E9CA}" name="Job Code" dataDxfId="40"/>
    <tableColumn id="2" xr3:uid="{07EA6F0A-6080-44CF-8FA3-BE68CD3CD352}" name="Project" dataDxfId="39"/>
    <tableColumn id="3" xr3:uid="{C4E4B75D-AAC6-4BF5-B844-03E43C29B588}" name="Dept." dataDxfId="38"/>
    <tableColumn id="4" xr3:uid="{74A2B4C4-1AE1-46BF-B90B-0B4AD3344F1F}" name="HC Requested" dataDxfId="37"/>
    <tableColumn id="5" xr3:uid="{1856E0CB-4E4A-4B03-A09C-4DC66EB1B6B5}" name="Job title" dataDxfId="36"/>
    <tableColumn id="6" xr3:uid="{B3DFFB2D-FBC5-4083-B458-DF02BC2519BA}" name="EE Level" dataDxfId="35"/>
    <tableColumn id="7" xr3:uid="{F9C0EFCD-1BF1-4394-8D5E-9B5E78FD1BBE}" name="Sites" dataDxfId="34"/>
    <tableColumn id="12" xr3:uid="{D573106E-FB0B-4FF4-9E29-29E38C2128C6}" name="Project Segment" dataDxfId="33"/>
    <tableColumn id="8" xr3:uid="{407D74B8-462B-449E-B411-6433ECBEB9CE}" name="Hiring manager" dataDxfId="32"/>
    <tableColumn id="26" xr3:uid="{C03D67A3-CD3A-4AA3-994F-03E6982F4423}" name="HRBP" dataDxfId="31"/>
    <tableColumn id="11" xr3:uid="{C8E6F99D-BFA9-4EAA-A615-B3825DF28387}" name="Recruiter" dataDxfId="30"/>
    <tableColumn id="9" xr3:uid="{72605714-9DCF-440A-B7C4-11A07CAF6897}" name="MyHR request date" dataDxfId="29"/>
    <tableColumn id="10" xr3:uid="{4A1C6963-E5CB-4535-9DD6-1133BC9F6976}" name="Expected onboard date" dataDxfId="28">
      <calculatedColumnFormula>L3+60</calculatedColumnFormula>
    </tableColumn>
    <tableColumn id="13" xr3:uid="{E6C57A18-BD61-4600-AA52-5C2533C1E6D6}" name="Status" dataDxfId="27">
      <calculatedColumnFormula>IF(S3=1,"Onboarded",IF(R3=1,"Offered",IF((M3-TODAY())&lt;0,"Overdue","In progress")))</calculatedColumnFormula>
    </tableColumn>
    <tableColumn id="14" xr3:uid="{11AF01BD-B9B5-42A3-A855-9796707B559F}" name="CV Sent" dataDxfId="26">
      <calculatedColumnFormula>COUNTIF(Database!$G$2:$G$6431, 'IDL tracking'!$A3)</calculatedColumnFormula>
    </tableColumn>
    <tableColumn id="15" xr3:uid="{9FE5F41B-C445-4CC5-965C-756D0D3B5029}" name="Interview" dataDxfId="25">
      <calculatedColumnFormula>COUNTIFS(Database!$G$2:$G$6431, 'IDL tracking'!$A3, Database!$M$2:$M$6431, 'IDL tracking'!P$2)+COUNTIFS(Database!$G$2:$G$6431, 'IDL tracking'!$A3, Database!$M$2:$M$6431, 'IDL tracking'!P$1)</calculatedColumnFormula>
    </tableColumn>
    <tableColumn id="16" xr3:uid="{685A8FD3-CD9C-4040-A5A4-B1D5E4329FC8}" name="Offered" dataDxfId="24">
      <calculatedColumnFormula>COUNTIFS(Database!$G$2:$G$6431, 'IDL tracking'!$A3, Database!$M$2:$M$6431, 'IDL tracking'!Q$2)</calculatedColumnFormula>
    </tableColumn>
    <tableColumn id="17" xr3:uid="{622BEFFF-AB09-4B2E-9C26-D6B45F9711C2}" name="Offer Accepted" dataDxfId="23">
      <calculatedColumnFormula>COUNTIFS(Database!$G$2:$G$6431, 'IDL tracking'!$A3, Database!$M$2:$M$6431, 'IDL tracking'!R$2)</calculatedColumnFormula>
    </tableColumn>
    <tableColumn id="18" xr3:uid="{7FE002AD-C973-466C-AC20-77ABCC531A4E}" name="Onboarded" dataDxfId="22">
      <calculatedColumnFormula>COUNTIFS(Database!$G$2:$G$6431, 'IDL tracking'!$A3, Database!$M$2:$M$6431, 'IDL tracking'!S$2)</calculatedColumnFormula>
    </tableColumn>
    <tableColumn id="19" xr3:uid="{F56816EA-94FF-465C-9716-0DBB96C8EEF4}" name="Offer Rejected" dataDxfId="21">
      <calculatedColumnFormula>COUNTIFS(Database!$G$2:$G$6431, 'IDL tracking'!$A3, Database!$M$2:$M$6431, 'IDL tracking'!T$2)</calculatedColumnFormula>
    </tableColumn>
    <tableColumn id="20" xr3:uid="{37BFE3C0-5009-4469-9CF6-3FB373A35BC5}" name="Source" dataDxfId="20">
      <calculatedColumnFormula array="1">IFERROR(INDEX(Database!$P$2:$P$6431,MATCH(1,('IDL tracking'!A3=Database!$G$2:$G$6431)*('IDL tracking'!$R$2=Database!$M$2:$M$6431),0)),"")&amp;IFERROR(INDEX(Database!$P$2:$P$6431,MATCH(1,('IDL tracking'!A3=Database!$G$2:$G$6431)*('IDL tracking'!$S$2=Database!$M$2:$M$6431),0)),"")</calculatedColumnFormula>
    </tableColumn>
    <tableColumn id="21" xr3:uid="{BE58FAF2-A64C-4EE1-AFA3-292987CAA7EC}" name="Candidate Name" dataDxfId="19">
      <calculatedColumnFormula array="1">IFERROR(INDEX(Database!$C$2:$C$6431,MATCH(1,('IDL tracking'!A3=Database!$G$2:$G$6431)*('IDL tracking'!$R$2=Database!$M$2:$M$6431),0)),"")&amp;IFERROR(INDEX(Database!$C$2:$C$6431,MATCH(1,('IDL tracking'!A3=Database!$G$2:$G$6431)*('IDL tracking'!$S$2=Database!$M$2:$M$6431),0)),"")</calculatedColumnFormula>
    </tableColumn>
    <tableColumn id="22" xr3:uid="{2FB0F9B9-538E-42C5-BEF2-D442939CBF50}" name="Onboard Date" dataDxfId="18">
      <calculatedColumnFormula array="1">IFERROR(INDEX(Database!$N$2:$N$6431,MATCH(1,('IDL tracking'!A3=Database!$G$2:$G$6431)*('IDL tracking'!$R$2=Database!$M$2:$M$6431),0)),0)+IFERROR(INDEX(Database!$N$2:$N$6431,MATCH(1,('IDL tracking'!A3=Database!$G$2:$G$6431)*('IDL tracking'!$S$2=Database!$M$2:$M$6431),0)),0)</calculatedColumnFormula>
    </tableColumn>
    <tableColumn id="24" xr3:uid="{BE8970A2-B222-43BD-A554-024548395118}" name="Offer Date" dataDxfId="17">
      <calculatedColumnFormula array="1">IFERROR(INDEX(Database!$O$2:$O$17,MATCH(1,('IDL tracking'!A3=Database!$G$2:$G$17)*('IDL tracking'!$R$2=Database!$M$2:$M$17),0)),0)+IFERROR(INDEX(Database!$O$2:$O$17,MATCH(1,('IDL tracking'!A3=Database!$G$2:$G$17)*('IDL tracking'!$S$2=Database!$M$2:$M$17),0)),0)</calculatedColumnFormula>
    </tableColumn>
    <tableColumn id="23" xr3:uid="{FF571A7B-FA38-4403-8F81-F8A7AF2ABFBA}" name="Note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microsoft.com/office/2019/04/relationships/namedSheetView" Target="../namedSheetViews/namedSheetView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olex@123" TargetMode="External"/><Relationship Id="rId2" Type="http://schemas.openxmlformats.org/officeDocument/2006/relationships/hyperlink" Target="mailto:ngocanh.hoang@kochcc.com" TargetMode="External"/><Relationship Id="rId1" Type="http://schemas.openxmlformats.org/officeDocument/2006/relationships/hyperlink" Target="mailto:Hoang.Huong0@molex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725"/>
  <sheetViews>
    <sheetView showGridLines="0" tabSelected="1" zoomScale="85" zoomScaleNormal="85" workbookViewId="0">
      <pane xSplit="7" ySplit="2" topLeftCell="H3" activePane="bottomRight" state="frozen"/>
      <selection pane="topRight" activeCell="H1" sqref="H1"/>
      <selection pane="bottomLeft" activeCell="A350" sqref="A350"/>
      <selection pane="bottomRight" activeCell="E4" sqref="E4"/>
    </sheetView>
  </sheetViews>
  <sheetFormatPr defaultColWidth="14.453125" defaultRowHeight="15" customHeight="1" x14ac:dyDescent="0.45"/>
  <cols>
    <col min="1" max="1" width="10.54296875" style="8" customWidth="1"/>
    <col min="2" max="2" width="19.81640625" style="8" customWidth="1"/>
    <col min="3" max="3" width="10" style="8" customWidth="1"/>
    <col min="4" max="4" width="10.453125" style="8" customWidth="1"/>
    <col min="5" max="5" width="33.81640625" style="1" customWidth="1"/>
    <col min="6" max="6" width="11.54296875" style="1" customWidth="1"/>
    <col min="7" max="7" width="10.54296875" style="8" customWidth="1"/>
    <col min="8" max="8" width="11.36328125" style="8" customWidth="1"/>
    <col min="9" max="9" width="20.1796875" style="14" customWidth="1"/>
    <col min="10" max="10" width="9.1796875" style="8" customWidth="1"/>
    <col min="11" max="11" width="11.453125" style="8" customWidth="1"/>
    <col min="12" max="12" width="12.81640625" style="12" customWidth="1"/>
    <col min="13" max="13" width="15" style="12" customWidth="1"/>
    <col min="14" max="14" width="10.453125" style="1" customWidth="1"/>
    <col min="15" max="15" width="11.54296875" style="1" customWidth="1"/>
    <col min="16" max="18" width="11.453125" style="1" customWidth="1"/>
    <col min="19" max="19" width="16" style="1" customWidth="1"/>
    <col min="20" max="20" width="12.54296875" style="1" customWidth="1"/>
    <col min="21" max="21" width="15.453125" style="1" customWidth="1"/>
    <col min="22" max="22" width="23.1796875" style="14" customWidth="1"/>
    <col min="23" max="23" width="20.54296875" style="1" customWidth="1"/>
    <col min="24" max="24" width="17.453125" style="1" customWidth="1"/>
    <col min="25" max="25" width="37" style="51" customWidth="1"/>
    <col min="27" max="16384" width="14.453125" style="1"/>
  </cols>
  <sheetData>
    <row r="1" spans="1:26" ht="17.149999999999999" customHeight="1" x14ac:dyDescent="0.45">
      <c r="A1" s="16"/>
      <c r="B1" s="91"/>
      <c r="C1" s="2"/>
      <c r="D1" s="13">
        <f>SUBTOTAL(9,Table1[HC Requested])</f>
        <v>1</v>
      </c>
      <c r="E1" s="46"/>
      <c r="F1" s="16"/>
      <c r="G1" s="47"/>
      <c r="H1" s="97"/>
      <c r="I1" s="48"/>
      <c r="J1" s="40"/>
      <c r="K1" s="47"/>
      <c r="L1" s="10"/>
      <c r="M1" s="39"/>
      <c r="N1" s="38"/>
      <c r="O1" s="38"/>
      <c r="P1" s="67" t="s">
        <v>0</v>
      </c>
      <c r="Q1" s="38"/>
      <c r="R1" s="38"/>
      <c r="S1" s="38"/>
      <c r="T1" s="38"/>
      <c r="U1" s="38"/>
      <c r="V1" s="38"/>
      <c r="W1" s="38"/>
      <c r="X1" s="38"/>
      <c r="Y1" s="46"/>
      <c r="Z1" s="61"/>
    </row>
    <row r="2" spans="1:26" s="22" customFormat="1" ht="38.9" customHeight="1" x14ac:dyDescent="0.35">
      <c r="A2" s="27" t="s">
        <v>2</v>
      </c>
      <c r="B2" s="92" t="s">
        <v>3</v>
      </c>
      <c r="C2" s="3" t="s">
        <v>4</v>
      </c>
      <c r="D2" s="43" t="s">
        <v>5</v>
      </c>
      <c r="E2" s="23" t="s">
        <v>6</v>
      </c>
      <c r="F2" s="44" t="s">
        <v>7</v>
      </c>
      <c r="G2" s="23" t="s">
        <v>8</v>
      </c>
      <c r="H2" s="23" t="s">
        <v>158</v>
      </c>
      <c r="I2" s="23" t="s">
        <v>9</v>
      </c>
      <c r="J2" s="44" t="s">
        <v>10</v>
      </c>
      <c r="K2" s="3" t="s">
        <v>11</v>
      </c>
      <c r="L2" s="45" t="s">
        <v>12</v>
      </c>
      <c r="M2" s="55" t="s">
        <v>13</v>
      </c>
      <c r="N2" s="56" t="s">
        <v>14</v>
      </c>
      <c r="O2" s="57" t="s">
        <v>15</v>
      </c>
      <c r="P2" s="57" t="s">
        <v>16</v>
      </c>
      <c r="Q2" s="57" t="s">
        <v>17</v>
      </c>
      <c r="R2" s="57" t="s">
        <v>18</v>
      </c>
      <c r="S2" s="57" t="s">
        <v>19</v>
      </c>
      <c r="T2" s="57" t="s">
        <v>20</v>
      </c>
      <c r="U2" s="57" t="s">
        <v>21</v>
      </c>
      <c r="V2" s="58" t="s">
        <v>22</v>
      </c>
      <c r="W2" s="59" t="s">
        <v>23</v>
      </c>
      <c r="X2" s="60" t="s">
        <v>24</v>
      </c>
      <c r="Y2" s="43" t="s">
        <v>25</v>
      </c>
      <c r="Z2" s="65"/>
    </row>
    <row r="3" spans="1:26" s="20" customFormat="1" ht="16.399999999999999" customHeight="1" x14ac:dyDescent="0.45">
      <c r="A3" s="26" t="s">
        <v>26</v>
      </c>
      <c r="B3" s="93" t="s">
        <v>206</v>
      </c>
      <c r="C3" s="18" t="s">
        <v>27</v>
      </c>
      <c r="D3" s="18">
        <v>1</v>
      </c>
      <c r="E3" s="72" t="s">
        <v>28</v>
      </c>
      <c r="F3" s="21" t="s">
        <v>29</v>
      </c>
      <c r="G3" s="31" t="s">
        <v>30</v>
      </c>
      <c r="H3" s="98" t="s">
        <v>1</v>
      </c>
      <c r="I3" s="49" t="s">
        <v>31</v>
      </c>
      <c r="J3" s="41" t="s">
        <v>56</v>
      </c>
      <c r="K3" s="31" t="s">
        <v>32</v>
      </c>
      <c r="L3" s="19">
        <v>45770</v>
      </c>
      <c r="M3" s="19">
        <f t="shared" ref="M3" si="0">L3+60</f>
        <v>45830</v>
      </c>
      <c r="N3" s="18" t="str">
        <f t="shared" ref="N3" ca="1" si="1">IF(S3=1,"Onboarded",IF(R3=1,"Offered",IF((M3-TODAY())&lt;0,"Overdue","In progress")))</f>
        <v>Onboarded</v>
      </c>
      <c r="O3" s="18">
        <f>COUNTIF(Database!$G$2:$G$6431, 'IDL tracking'!$A3)</f>
        <v>16</v>
      </c>
      <c r="P3" s="18">
        <f>COUNTIFS(Database!$G$2:$G$6431, 'IDL tracking'!$A3, Database!$M$2:$M$6431, 'IDL tracking'!P$2)+COUNTIFS(Database!$G$2:$G$6431, 'IDL tracking'!$A3, Database!$M$2:$M$6431, 'IDL tracking'!P$1)</f>
        <v>5</v>
      </c>
      <c r="Q3" s="18">
        <f>COUNTIFS(Database!$G$2:$G$6431, 'IDL tracking'!$A3, Database!$M$2:$M$6431, 'IDL tracking'!Q$2)</f>
        <v>0</v>
      </c>
      <c r="R3" s="18">
        <f>COUNTIFS(Database!$G$2:$G$6431, 'IDL tracking'!$A3, Database!$M$2:$M$6431, 'IDL tracking'!R$2)</f>
        <v>0</v>
      </c>
      <c r="S3" s="18">
        <f>COUNTIFS(Database!$G$2:$G$6431, 'IDL tracking'!$A3, Database!$M$2:$M$6431, 'IDL tracking'!S$2)</f>
        <v>1</v>
      </c>
      <c r="T3" s="18">
        <f>COUNTIFS(Database!$G$2:$G$6431, 'IDL tracking'!$A3, Database!$M$2:$M$6431, 'IDL tracking'!T$2)</f>
        <v>0</v>
      </c>
      <c r="U3" s="24" t="str" cm="1">
        <f t="array" ref="U3">IFERROR(INDEX(Database!$P$2:$P$6431,MATCH(1,('IDL tracking'!A3=Database!$G$2:$G$6431)*('IDL tracking'!$R$2=Database!$M$2:$M$6431),0)),"")&amp;IFERROR(INDEX(Database!$P$2:$P$6431,MATCH(1,('IDL tracking'!A3=Database!$G$2:$G$6431)*('IDL tracking'!$S$2=Database!$M$2:$M$6431),0)),"")</f>
        <v>Network</v>
      </c>
      <c r="V3" s="24" t="str" cm="1">
        <f t="array" ref="V3">IFERROR(INDEX(Database!$C$2:$C$6431,MATCH(1,('IDL tracking'!A3=Database!$G$2:$G$6431)*('IDL tracking'!$R$2=Database!$M$2:$M$6431),0)),"")&amp;IFERROR(INDEX(Database!$C$2:$C$6431,MATCH(1,('IDL tracking'!A3=Database!$G$2:$G$6431)*('IDL tracking'!$S$2=Database!$M$2:$M$6431),0)),"")</f>
        <v>Lê Văn D</v>
      </c>
      <c r="W3" s="25" cm="1">
        <f t="array" ref="W3">IFERROR(INDEX(Database!$N$2:$N$6431,MATCH(1,('IDL tracking'!A3=Database!$G$2:$G$6431)*('IDL tracking'!$R$2=Database!$M$2:$M$6431),0)),0)+IFERROR(INDEX(Database!$N$2:$N$6431,MATCH(1,('IDL tracking'!A3=Database!$G$2:$G$6431)*('IDL tracking'!$S$2=Database!$M$2:$M$6431),0)),0)</f>
        <v>45915</v>
      </c>
      <c r="X3" s="25" cm="1">
        <f t="array" ref="X3">IFERROR(INDEX(Database!$O$2:$O$6431,MATCH(1,('IDL tracking'!A3=Database!$G$2:$G$6431)*('IDL tracking'!$R$2=Database!$M$2:$M$6431),0)),0)+IFERROR(INDEX(Database!$O$2:$O$6431,MATCH(1,('IDL tracking'!A3=Database!$G$2:$G$6431)*('IDL tracking'!$S$2=Database!$M$2:$M$6431),0)),0)</f>
        <v>45891</v>
      </c>
      <c r="Y3" s="64"/>
      <c r="Z3" s="66"/>
    </row>
    <row r="4" spans="1:26" ht="15" customHeight="1" x14ac:dyDescent="0.45">
      <c r="Z4" s="1"/>
    </row>
    <row r="5" spans="1:26" ht="15" customHeight="1" x14ac:dyDescent="0.45">
      <c r="Z5" s="1"/>
    </row>
    <row r="6" spans="1:26" ht="15" customHeight="1" x14ac:dyDescent="0.45">
      <c r="Z6" s="1"/>
    </row>
    <row r="7" spans="1:26" ht="15" customHeight="1" x14ac:dyDescent="0.45">
      <c r="Z7" s="1"/>
    </row>
    <row r="8" spans="1:26" ht="15" customHeight="1" x14ac:dyDescent="0.45">
      <c r="Z8" s="1"/>
    </row>
    <row r="9" spans="1:26" ht="15" customHeight="1" x14ac:dyDescent="0.45">
      <c r="Z9" s="1"/>
    </row>
    <row r="10" spans="1:26" ht="15" customHeight="1" x14ac:dyDescent="0.45">
      <c r="Z10" s="1"/>
    </row>
    <row r="11" spans="1:26" ht="15" customHeight="1" x14ac:dyDescent="0.45">
      <c r="Z11" s="1"/>
    </row>
    <row r="12" spans="1:26" ht="15" customHeight="1" x14ac:dyDescent="0.45">
      <c r="Z12" s="1"/>
    </row>
    <row r="13" spans="1:26" ht="15" customHeight="1" x14ac:dyDescent="0.45">
      <c r="Z13" s="1"/>
    </row>
    <row r="14" spans="1:26" ht="15" customHeight="1" x14ac:dyDescent="0.45">
      <c r="Z14" s="1"/>
    </row>
    <row r="15" spans="1:26" ht="15" customHeight="1" x14ac:dyDescent="0.45">
      <c r="Z15" s="1"/>
    </row>
    <row r="16" spans="1:26" ht="15" customHeight="1" x14ac:dyDescent="0.45">
      <c r="Z16" s="1"/>
    </row>
    <row r="17" spans="26:26" ht="15" customHeight="1" x14ac:dyDescent="0.45">
      <c r="Z17" s="1"/>
    </row>
    <row r="18" spans="26:26" ht="15" customHeight="1" x14ac:dyDescent="0.45">
      <c r="Z18" s="1"/>
    </row>
    <row r="19" spans="26:26" ht="15" customHeight="1" x14ac:dyDescent="0.45">
      <c r="Z19" s="1"/>
    </row>
    <row r="20" spans="26:26" ht="15" customHeight="1" x14ac:dyDescent="0.45">
      <c r="Z20" s="1"/>
    </row>
    <row r="21" spans="26:26" ht="15" customHeight="1" x14ac:dyDescent="0.45">
      <c r="Z21" s="1"/>
    </row>
    <row r="22" spans="26:26" ht="15" customHeight="1" x14ac:dyDescent="0.45">
      <c r="Z22" s="1"/>
    </row>
    <row r="23" spans="26:26" ht="15" customHeight="1" x14ac:dyDescent="0.45">
      <c r="Z23" s="1"/>
    </row>
    <row r="24" spans="26:26" ht="15" customHeight="1" x14ac:dyDescent="0.45">
      <c r="Z24" s="1"/>
    </row>
    <row r="25" spans="26:26" ht="15" customHeight="1" x14ac:dyDescent="0.45">
      <c r="Z25" s="1"/>
    </row>
    <row r="26" spans="26:26" ht="15" customHeight="1" x14ac:dyDescent="0.45">
      <c r="Z26" s="1"/>
    </row>
    <row r="27" spans="26:26" ht="15" customHeight="1" x14ac:dyDescent="0.45">
      <c r="Z27" s="1"/>
    </row>
    <row r="28" spans="26:26" ht="15" customHeight="1" x14ac:dyDescent="0.45">
      <c r="Z28" s="1"/>
    </row>
    <row r="29" spans="26:26" ht="15" customHeight="1" x14ac:dyDescent="0.45">
      <c r="Z29" s="1"/>
    </row>
    <row r="30" spans="26:26" ht="15" customHeight="1" x14ac:dyDescent="0.45">
      <c r="Z30" s="1"/>
    </row>
    <row r="31" spans="26:26" ht="15" customHeight="1" x14ac:dyDescent="0.45">
      <c r="Z31" s="1"/>
    </row>
    <row r="32" spans="26:26" ht="15" customHeight="1" x14ac:dyDescent="0.45">
      <c r="Z32" s="1"/>
    </row>
    <row r="33" spans="26:26" ht="15" customHeight="1" x14ac:dyDescent="0.45">
      <c r="Z33" s="1"/>
    </row>
    <row r="34" spans="26:26" ht="15" customHeight="1" x14ac:dyDescent="0.45">
      <c r="Z34" s="1"/>
    </row>
    <row r="35" spans="26:26" ht="15" customHeight="1" x14ac:dyDescent="0.45">
      <c r="Z35" s="1"/>
    </row>
    <row r="36" spans="26:26" ht="15" customHeight="1" x14ac:dyDescent="0.45">
      <c r="Z36" s="1"/>
    </row>
    <row r="37" spans="26:26" ht="15" customHeight="1" x14ac:dyDescent="0.45">
      <c r="Z37" s="1"/>
    </row>
    <row r="38" spans="26:26" ht="15" customHeight="1" x14ac:dyDescent="0.45">
      <c r="Z38" s="1"/>
    </row>
    <row r="39" spans="26:26" ht="15" customHeight="1" x14ac:dyDescent="0.45">
      <c r="Z39" s="1"/>
    </row>
    <row r="40" spans="26:26" ht="15" customHeight="1" x14ac:dyDescent="0.45">
      <c r="Z40" s="1"/>
    </row>
    <row r="41" spans="26:26" ht="15" customHeight="1" x14ac:dyDescent="0.45">
      <c r="Z41" s="1"/>
    </row>
    <row r="42" spans="26:26" ht="15" customHeight="1" x14ac:dyDescent="0.45">
      <c r="Z42" s="1"/>
    </row>
    <row r="43" spans="26:26" ht="15" customHeight="1" x14ac:dyDescent="0.45">
      <c r="Z43" s="1"/>
    </row>
    <row r="44" spans="26:26" ht="15" customHeight="1" x14ac:dyDescent="0.45">
      <c r="Z44" s="1"/>
    </row>
    <row r="45" spans="26:26" ht="15" customHeight="1" x14ac:dyDescent="0.45">
      <c r="Z45" s="1"/>
    </row>
    <row r="46" spans="26:26" ht="15" customHeight="1" x14ac:dyDescent="0.45">
      <c r="Z46" s="1"/>
    </row>
    <row r="47" spans="26:26" ht="15" customHeight="1" x14ac:dyDescent="0.45">
      <c r="Z47" s="1"/>
    </row>
    <row r="48" spans="26:26" ht="15" customHeight="1" x14ac:dyDescent="0.45">
      <c r="Z48" s="1"/>
    </row>
    <row r="49" spans="26:26" ht="15" customHeight="1" x14ac:dyDescent="0.45">
      <c r="Z49" s="1"/>
    </row>
    <row r="50" spans="26:26" ht="15" customHeight="1" x14ac:dyDescent="0.45">
      <c r="Z50" s="1"/>
    </row>
    <row r="51" spans="26:26" ht="15" customHeight="1" x14ac:dyDescent="0.45">
      <c r="Z51" s="1"/>
    </row>
    <row r="52" spans="26:26" ht="15" customHeight="1" x14ac:dyDescent="0.45">
      <c r="Z52" s="1"/>
    </row>
    <row r="53" spans="26:26" ht="15" customHeight="1" x14ac:dyDescent="0.45">
      <c r="Z53" s="1"/>
    </row>
    <row r="54" spans="26:26" ht="15" customHeight="1" x14ac:dyDescent="0.45">
      <c r="Z54" s="1"/>
    </row>
    <row r="55" spans="26:26" ht="15" customHeight="1" x14ac:dyDescent="0.45">
      <c r="Z55" s="1"/>
    </row>
    <row r="56" spans="26:26" ht="15" customHeight="1" x14ac:dyDescent="0.45">
      <c r="Z56" s="1"/>
    </row>
    <row r="57" spans="26:26" ht="15" customHeight="1" x14ac:dyDescent="0.45">
      <c r="Z57" s="1"/>
    </row>
    <row r="58" spans="26:26" ht="15" customHeight="1" x14ac:dyDescent="0.45">
      <c r="Z58" s="1"/>
    </row>
    <row r="59" spans="26:26" ht="15" customHeight="1" x14ac:dyDescent="0.45">
      <c r="Z59" s="1"/>
    </row>
    <row r="60" spans="26:26" ht="15" customHeight="1" x14ac:dyDescent="0.45">
      <c r="Z60" s="1"/>
    </row>
    <row r="61" spans="26:26" ht="15" customHeight="1" x14ac:dyDescent="0.45">
      <c r="Z61" s="1"/>
    </row>
    <row r="62" spans="26:26" ht="15" customHeight="1" x14ac:dyDescent="0.45">
      <c r="Z62" s="1"/>
    </row>
    <row r="63" spans="26:26" ht="15" customHeight="1" x14ac:dyDescent="0.45">
      <c r="Z63" s="1"/>
    </row>
    <row r="64" spans="26:26" ht="15" customHeight="1" x14ac:dyDescent="0.45">
      <c r="Z64" s="1"/>
    </row>
    <row r="65" spans="26:26" ht="15" customHeight="1" x14ac:dyDescent="0.45">
      <c r="Z65" s="1"/>
    </row>
    <row r="66" spans="26:26" ht="15" customHeight="1" x14ac:dyDescent="0.45">
      <c r="Z66" s="1"/>
    </row>
    <row r="67" spans="26:26" ht="15" customHeight="1" x14ac:dyDescent="0.45">
      <c r="Z67" s="1"/>
    </row>
    <row r="68" spans="26:26" ht="15" customHeight="1" x14ac:dyDescent="0.45">
      <c r="Z68" s="1"/>
    </row>
    <row r="69" spans="26:26" ht="15" customHeight="1" x14ac:dyDescent="0.45">
      <c r="Z69" s="1"/>
    </row>
    <row r="70" spans="26:26" ht="15" customHeight="1" x14ac:dyDescent="0.45">
      <c r="Z70" s="1"/>
    </row>
    <row r="71" spans="26:26" ht="15" customHeight="1" x14ac:dyDescent="0.45">
      <c r="Z71" s="1"/>
    </row>
    <row r="72" spans="26:26" ht="15" customHeight="1" x14ac:dyDescent="0.45">
      <c r="Z72" s="1"/>
    </row>
    <row r="73" spans="26:26" ht="15" customHeight="1" x14ac:dyDescent="0.45">
      <c r="Z73" s="1"/>
    </row>
    <row r="74" spans="26:26" ht="15" customHeight="1" x14ac:dyDescent="0.45">
      <c r="Z74" s="1"/>
    </row>
    <row r="75" spans="26:26" ht="15" customHeight="1" x14ac:dyDescent="0.45">
      <c r="Z75" s="1"/>
    </row>
    <row r="76" spans="26:26" ht="15" customHeight="1" x14ac:dyDescent="0.45">
      <c r="Z76" s="1"/>
    </row>
    <row r="77" spans="26:26" ht="15" customHeight="1" x14ac:dyDescent="0.45">
      <c r="Z77" s="1"/>
    </row>
    <row r="78" spans="26:26" ht="15" customHeight="1" x14ac:dyDescent="0.45">
      <c r="Z78" s="1"/>
    </row>
    <row r="79" spans="26:26" ht="15" customHeight="1" x14ac:dyDescent="0.45">
      <c r="Z79" s="1"/>
    </row>
    <row r="80" spans="26:26" ht="15" customHeight="1" x14ac:dyDescent="0.45">
      <c r="Z80" s="1"/>
    </row>
    <row r="81" spans="26:26" ht="15" customHeight="1" x14ac:dyDescent="0.45">
      <c r="Z81" s="1"/>
    </row>
    <row r="82" spans="26:26" ht="15" customHeight="1" x14ac:dyDescent="0.45">
      <c r="Z82" s="1"/>
    </row>
    <row r="83" spans="26:26" ht="15" customHeight="1" x14ac:dyDescent="0.45">
      <c r="Z83" s="1"/>
    </row>
    <row r="84" spans="26:26" ht="15" customHeight="1" x14ac:dyDescent="0.45">
      <c r="Z84" s="1"/>
    </row>
    <row r="85" spans="26:26" ht="15" customHeight="1" x14ac:dyDescent="0.45">
      <c r="Z85" s="1"/>
    </row>
    <row r="86" spans="26:26" ht="15" customHeight="1" x14ac:dyDescent="0.45">
      <c r="Z86" s="1"/>
    </row>
    <row r="87" spans="26:26" ht="15" customHeight="1" x14ac:dyDescent="0.45">
      <c r="Z87" s="1"/>
    </row>
    <row r="88" spans="26:26" ht="15" customHeight="1" x14ac:dyDescent="0.45">
      <c r="Z88" s="1"/>
    </row>
    <row r="89" spans="26:26" ht="15" customHeight="1" x14ac:dyDescent="0.45">
      <c r="Z89" s="1"/>
    </row>
    <row r="90" spans="26:26" ht="15" customHeight="1" x14ac:dyDescent="0.45">
      <c r="Z90" s="1"/>
    </row>
    <row r="91" spans="26:26" ht="15" customHeight="1" x14ac:dyDescent="0.45">
      <c r="Z91" s="1"/>
    </row>
    <row r="92" spans="26:26" ht="15" customHeight="1" x14ac:dyDescent="0.45">
      <c r="Z92" s="1"/>
    </row>
    <row r="93" spans="26:26" ht="15" customHeight="1" x14ac:dyDescent="0.45">
      <c r="Z93" s="1"/>
    </row>
    <row r="94" spans="26:26" ht="15" customHeight="1" x14ac:dyDescent="0.45">
      <c r="Z94" s="1"/>
    </row>
    <row r="95" spans="26:26" ht="15" customHeight="1" x14ac:dyDescent="0.45">
      <c r="Z95" s="1"/>
    </row>
    <row r="96" spans="26:26" ht="15" customHeight="1" x14ac:dyDescent="0.45">
      <c r="Z96" s="1"/>
    </row>
    <row r="97" spans="26:26" ht="15" customHeight="1" x14ac:dyDescent="0.45">
      <c r="Z97" s="1"/>
    </row>
    <row r="98" spans="26:26" ht="15" customHeight="1" x14ac:dyDescent="0.45">
      <c r="Z98" s="1"/>
    </row>
    <row r="99" spans="26:26" ht="15" customHeight="1" x14ac:dyDescent="0.45">
      <c r="Z99" s="1"/>
    </row>
    <row r="100" spans="26:26" ht="15" customHeight="1" x14ac:dyDescent="0.45">
      <c r="Z100" s="1"/>
    </row>
    <row r="101" spans="26:26" ht="15" customHeight="1" x14ac:dyDescent="0.45">
      <c r="Z101" s="1"/>
    </row>
    <row r="102" spans="26:26" ht="15" customHeight="1" x14ac:dyDescent="0.45">
      <c r="Z102" s="1"/>
    </row>
    <row r="103" spans="26:26" ht="15" customHeight="1" x14ac:dyDescent="0.45">
      <c r="Z103" s="1"/>
    </row>
    <row r="104" spans="26:26" ht="15" customHeight="1" x14ac:dyDescent="0.45">
      <c r="Z104" s="1"/>
    </row>
    <row r="105" spans="26:26" ht="15" customHeight="1" x14ac:dyDescent="0.45">
      <c r="Z105" s="1"/>
    </row>
    <row r="106" spans="26:26" ht="15" customHeight="1" x14ac:dyDescent="0.45">
      <c r="Z106" s="1"/>
    </row>
    <row r="107" spans="26:26" ht="15" customHeight="1" x14ac:dyDescent="0.45">
      <c r="Z107" s="1"/>
    </row>
    <row r="108" spans="26:26" ht="15" customHeight="1" x14ac:dyDescent="0.45">
      <c r="Z108" s="1"/>
    </row>
    <row r="109" spans="26:26" ht="15" customHeight="1" x14ac:dyDescent="0.45">
      <c r="Z109" s="1"/>
    </row>
    <row r="110" spans="26:26" ht="15" customHeight="1" x14ac:dyDescent="0.45">
      <c r="Z110" s="1"/>
    </row>
    <row r="111" spans="26:26" ht="15" customHeight="1" x14ac:dyDescent="0.45">
      <c r="Z111" s="1"/>
    </row>
    <row r="112" spans="26:26" ht="15" customHeight="1" x14ac:dyDescent="0.45">
      <c r="Z112" s="1"/>
    </row>
    <row r="113" spans="26:26" ht="15" customHeight="1" x14ac:dyDescent="0.45">
      <c r="Z113" s="1"/>
    </row>
    <row r="114" spans="26:26" ht="15" customHeight="1" x14ac:dyDescent="0.45">
      <c r="Z114" s="1"/>
    </row>
    <row r="115" spans="26:26" ht="15" customHeight="1" x14ac:dyDescent="0.45">
      <c r="Z115" s="1"/>
    </row>
    <row r="116" spans="26:26" ht="15" customHeight="1" x14ac:dyDescent="0.45">
      <c r="Z116" s="1"/>
    </row>
    <row r="117" spans="26:26" ht="15" customHeight="1" x14ac:dyDescent="0.45">
      <c r="Z117" s="1"/>
    </row>
    <row r="118" spans="26:26" ht="15" customHeight="1" x14ac:dyDescent="0.45">
      <c r="Z118" s="1"/>
    </row>
    <row r="119" spans="26:26" ht="15" customHeight="1" x14ac:dyDescent="0.45">
      <c r="Z119" s="1"/>
    </row>
    <row r="120" spans="26:26" ht="15" customHeight="1" x14ac:dyDescent="0.45">
      <c r="Z120" s="1"/>
    </row>
    <row r="121" spans="26:26" ht="15" customHeight="1" x14ac:dyDescent="0.45">
      <c r="Z121" s="1"/>
    </row>
    <row r="122" spans="26:26" ht="15" customHeight="1" x14ac:dyDescent="0.45">
      <c r="Z122" s="1"/>
    </row>
    <row r="123" spans="26:26" ht="15" customHeight="1" x14ac:dyDescent="0.45">
      <c r="Z123" s="1"/>
    </row>
    <row r="124" spans="26:26" ht="15" customHeight="1" x14ac:dyDescent="0.45">
      <c r="Z124" s="1"/>
    </row>
    <row r="125" spans="26:26" ht="15" customHeight="1" x14ac:dyDescent="0.45">
      <c r="Z125" s="1"/>
    </row>
    <row r="126" spans="26:26" ht="15" customHeight="1" x14ac:dyDescent="0.45">
      <c r="Z126" s="1"/>
    </row>
    <row r="127" spans="26:26" ht="15" customHeight="1" x14ac:dyDescent="0.45">
      <c r="Z127" s="1"/>
    </row>
    <row r="128" spans="26:26" ht="15" customHeight="1" x14ac:dyDescent="0.45">
      <c r="Z128" s="1"/>
    </row>
    <row r="129" spans="26:26" ht="15" customHeight="1" x14ac:dyDescent="0.45">
      <c r="Z129" s="1"/>
    </row>
    <row r="130" spans="26:26" ht="15" customHeight="1" x14ac:dyDescent="0.45">
      <c r="Z130" s="1"/>
    </row>
    <row r="131" spans="26:26" ht="15" customHeight="1" x14ac:dyDescent="0.45">
      <c r="Z131" s="1"/>
    </row>
    <row r="132" spans="26:26" ht="15" customHeight="1" x14ac:dyDescent="0.45">
      <c r="Z132" s="1"/>
    </row>
    <row r="133" spans="26:26" ht="15" customHeight="1" x14ac:dyDescent="0.45">
      <c r="Z133" s="1"/>
    </row>
    <row r="134" spans="26:26" ht="15" customHeight="1" x14ac:dyDescent="0.45">
      <c r="Z134" s="1"/>
    </row>
    <row r="135" spans="26:26" ht="15" customHeight="1" x14ac:dyDescent="0.45">
      <c r="Z135" s="1"/>
    </row>
    <row r="136" spans="26:26" ht="15" customHeight="1" x14ac:dyDescent="0.45">
      <c r="Z136" s="1"/>
    </row>
    <row r="137" spans="26:26" ht="15" customHeight="1" x14ac:dyDescent="0.45">
      <c r="Z137" s="1"/>
    </row>
    <row r="138" spans="26:26" ht="15" customHeight="1" x14ac:dyDescent="0.45">
      <c r="Z138" s="1"/>
    </row>
    <row r="139" spans="26:26" ht="15" customHeight="1" x14ac:dyDescent="0.45">
      <c r="Z139" s="1"/>
    </row>
    <row r="140" spans="26:26" ht="15" customHeight="1" x14ac:dyDescent="0.45">
      <c r="Z140" s="1"/>
    </row>
    <row r="141" spans="26:26" ht="15" customHeight="1" x14ac:dyDescent="0.45">
      <c r="Z141" s="1"/>
    </row>
    <row r="142" spans="26:26" ht="15" customHeight="1" x14ac:dyDescent="0.45">
      <c r="Z142" s="1"/>
    </row>
    <row r="143" spans="26:26" ht="15" customHeight="1" x14ac:dyDescent="0.45">
      <c r="Z143" s="1"/>
    </row>
    <row r="144" spans="26:26" ht="15" customHeight="1" x14ac:dyDescent="0.45">
      <c r="Z144" s="1"/>
    </row>
    <row r="145" spans="26:26" ht="15" customHeight="1" x14ac:dyDescent="0.45">
      <c r="Z145" s="1"/>
    </row>
    <row r="146" spans="26:26" ht="15" customHeight="1" x14ac:dyDescent="0.45">
      <c r="Z146" s="1"/>
    </row>
    <row r="147" spans="26:26" ht="15" customHeight="1" x14ac:dyDescent="0.45">
      <c r="Z147" s="1"/>
    </row>
    <row r="148" spans="26:26" ht="15" customHeight="1" x14ac:dyDescent="0.45">
      <c r="Z148" s="1"/>
    </row>
    <row r="149" spans="26:26" ht="15" customHeight="1" x14ac:dyDescent="0.45">
      <c r="Z149" s="1"/>
    </row>
    <row r="150" spans="26:26" ht="15" customHeight="1" x14ac:dyDescent="0.45">
      <c r="Z150" s="1"/>
    </row>
    <row r="151" spans="26:26" ht="15" customHeight="1" x14ac:dyDescent="0.45">
      <c r="Z151" s="1"/>
    </row>
    <row r="152" spans="26:26" ht="15" customHeight="1" x14ac:dyDescent="0.45">
      <c r="Z152" s="1"/>
    </row>
    <row r="153" spans="26:26" ht="15" customHeight="1" x14ac:dyDescent="0.45">
      <c r="Z153" s="1"/>
    </row>
    <row r="154" spans="26:26" ht="15" customHeight="1" x14ac:dyDescent="0.45">
      <c r="Z154" s="1"/>
    </row>
    <row r="155" spans="26:26" ht="15" customHeight="1" x14ac:dyDescent="0.45">
      <c r="Z155" s="1"/>
    </row>
    <row r="156" spans="26:26" ht="15" customHeight="1" x14ac:dyDescent="0.45">
      <c r="Z156" s="1"/>
    </row>
    <row r="157" spans="26:26" ht="15" customHeight="1" x14ac:dyDescent="0.45">
      <c r="Z157" s="1"/>
    </row>
    <row r="158" spans="26:26" ht="15" customHeight="1" x14ac:dyDescent="0.45">
      <c r="Z158" s="1"/>
    </row>
    <row r="159" spans="26:26" ht="15" customHeight="1" x14ac:dyDescent="0.45">
      <c r="Z159" s="1"/>
    </row>
    <row r="160" spans="26:26" ht="15" customHeight="1" x14ac:dyDescent="0.45">
      <c r="Z160" s="1"/>
    </row>
    <row r="161" spans="26:26" ht="15" customHeight="1" x14ac:dyDescent="0.45">
      <c r="Z161" s="1"/>
    </row>
    <row r="162" spans="26:26" ht="15" customHeight="1" x14ac:dyDescent="0.45">
      <c r="Z162" s="1"/>
    </row>
    <row r="163" spans="26:26" ht="15" customHeight="1" x14ac:dyDescent="0.45">
      <c r="Z163" s="1"/>
    </row>
    <row r="164" spans="26:26" ht="15" customHeight="1" x14ac:dyDescent="0.45">
      <c r="Z164" s="1"/>
    </row>
    <row r="165" spans="26:26" ht="15" customHeight="1" x14ac:dyDescent="0.45">
      <c r="Z165" s="1"/>
    </row>
    <row r="166" spans="26:26" ht="15" customHeight="1" x14ac:dyDescent="0.45">
      <c r="Z166" s="1"/>
    </row>
    <row r="167" spans="26:26" ht="15" customHeight="1" x14ac:dyDescent="0.45">
      <c r="Z167" s="1"/>
    </row>
    <row r="168" spans="26:26" ht="15" customHeight="1" x14ac:dyDescent="0.45">
      <c r="Z168" s="1"/>
    </row>
    <row r="169" spans="26:26" ht="15" customHeight="1" x14ac:dyDescent="0.45">
      <c r="Z169" s="1"/>
    </row>
    <row r="170" spans="26:26" ht="15" customHeight="1" x14ac:dyDescent="0.45">
      <c r="Z170" s="1"/>
    </row>
    <row r="171" spans="26:26" ht="15" customHeight="1" x14ac:dyDescent="0.45">
      <c r="Z171" s="1"/>
    </row>
    <row r="172" spans="26:26" ht="15" customHeight="1" x14ac:dyDescent="0.45">
      <c r="Z172" s="1"/>
    </row>
    <row r="173" spans="26:26" ht="15" customHeight="1" x14ac:dyDescent="0.45">
      <c r="Z173" s="1"/>
    </row>
    <row r="174" spans="26:26" ht="15" customHeight="1" x14ac:dyDescent="0.45">
      <c r="Z174" s="1"/>
    </row>
    <row r="175" spans="26:26" ht="15" customHeight="1" x14ac:dyDescent="0.45">
      <c r="Z175" s="1"/>
    </row>
    <row r="176" spans="26:26" ht="15" customHeight="1" x14ac:dyDescent="0.45">
      <c r="Z176" s="1"/>
    </row>
    <row r="177" spans="26:26" ht="15" customHeight="1" x14ac:dyDescent="0.45">
      <c r="Z177" s="1"/>
    </row>
    <row r="178" spans="26:26" ht="15" customHeight="1" x14ac:dyDescent="0.45">
      <c r="Z178" s="1"/>
    </row>
    <row r="179" spans="26:26" ht="15" customHeight="1" x14ac:dyDescent="0.45">
      <c r="Z179" s="1"/>
    </row>
    <row r="180" spans="26:26" ht="15" customHeight="1" x14ac:dyDescent="0.45">
      <c r="Z180" s="1"/>
    </row>
    <row r="181" spans="26:26" ht="15" customHeight="1" x14ac:dyDescent="0.45">
      <c r="Z181" s="1"/>
    </row>
    <row r="182" spans="26:26" ht="15" customHeight="1" x14ac:dyDescent="0.45">
      <c r="Z182" s="1"/>
    </row>
    <row r="183" spans="26:26" ht="15" customHeight="1" x14ac:dyDescent="0.45">
      <c r="Z183" s="1"/>
    </row>
    <row r="184" spans="26:26" ht="15" customHeight="1" x14ac:dyDescent="0.45">
      <c r="Z184" s="1"/>
    </row>
    <row r="185" spans="26:26" ht="15" customHeight="1" x14ac:dyDescent="0.45">
      <c r="Z185" s="1"/>
    </row>
    <row r="186" spans="26:26" ht="15" customHeight="1" x14ac:dyDescent="0.45">
      <c r="Z186" s="1"/>
    </row>
    <row r="187" spans="26:26" ht="15" customHeight="1" x14ac:dyDescent="0.45">
      <c r="Z187" s="1"/>
    </row>
    <row r="188" spans="26:26" ht="15" customHeight="1" x14ac:dyDescent="0.45">
      <c r="Z188" s="1"/>
    </row>
    <row r="189" spans="26:26" ht="15" customHeight="1" x14ac:dyDescent="0.45">
      <c r="Z189" s="1"/>
    </row>
    <row r="190" spans="26:26" ht="15" customHeight="1" x14ac:dyDescent="0.45">
      <c r="Z190" s="1"/>
    </row>
    <row r="191" spans="26:26" ht="15" customHeight="1" x14ac:dyDescent="0.45">
      <c r="Z191" s="1"/>
    </row>
    <row r="192" spans="26:26" ht="15" customHeight="1" x14ac:dyDescent="0.45">
      <c r="Z192" s="1"/>
    </row>
    <row r="193" spans="26:26" ht="15" customHeight="1" x14ac:dyDescent="0.45">
      <c r="Z193" s="1"/>
    </row>
    <row r="194" spans="26:26" ht="15" customHeight="1" x14ac:dyDescent="0.45">
      <c r="Z194" s="1"/>
    </row>
    <row r="195" spans="26:26" ht="15" customHeight="1" x14ac:dyDescent="0.45">
      <c r="Z195" s="1"/>
    </row>
    <row r="196" spans="26:26" ht="15" customHeight="1" x14ac:dyDescent="0.45">
      <c r="Z196" s="1"/>
    </row>
    <row r="197" spans="26:26" ht="15" customHeight="1" x14ac:dyDescent="0.45">
      <c r="Z197" s="1"/>
    </row>
    <row r="198" spans="26:26" ht="15" customHeight="1" x14ac:dyDescent="0.45">
      <c r="Z198" s="1"/>
    </row>
    <row r="199" spans="26:26" ht="15" customHeight="1" x14ac:dyDescent="0.45">
      <c r="Z199" s="1"/>
    </row>
    <row r="200" spans="26:26" ht="15" customHeight="1" x14ac:dyDescent="0.45">
      <c r="Z200" s="1"/>
    </row>
    <row r="201" spans="26:26" ht="15" customHeight="1" x14ac:dyDescent="0.45">
      <c r="Z201" s="1"/>
    </row>
    <row r="202" spans="26:26" ht="15" customHeight="1" x14ac:dyDescent="0.45">
      <c r="Z202" s="1"/>
    </row>
    <row r="203" spans="26:26" ht="15" customHeight="1" x14ac:dyDescent="0.45">
      <c r="Z203" s="1"/>
    </row>
    <row r="204" spans="26:26" ht="15" customHeight="1" x14ac:dyDescent="0.45">
      <c r="Z204" s="1"/>
    </row>
    <row r="205" spans="26:26" ht="15" customHeight="1" x14ac:dyDescent="0.45">
      <c r="Z205" s="1"/>
    </row>
    <row r="206" spans="26:26" ht="15" customHeight="1" x14ac:dyDescent="0.45">
      <c r="Z206" s="1"/>
    </row>
    <row r="207" spans="26:26" ht="15" customHeight="1" x14ac:dyDescent="0.45">
      <c r="Z207" s="1"/>
    </row>
    <row r="208" spans="26:26" ht="15" customHeight="1" x14ac:dyDescent="0.45">
      <c r="Z208" s="1"/>
    </row>
    <row r="209" spans="26:26" ht="15" customHeight="1" x14ac:dyDescent="0.45">
      <c r="Z209" s="1"/>
    </row>
    <row r="210" spans="26:26" ht="15" customHeight="1" x14ac:dyDescent="0.45">
      <c r="Z210" s="1"/>
    </row>
    <row r="211" spans="26:26" ht="15" customHeight="1" x14ac:dyDescent="0.45">
      <c r="Z211" s="1"/>
    </row>
    <row r="212" spans="26:26" ht="15" customHeight="1" x14ac:dyDescent="0.45">
      <c r="Z212" s="1"/>
    </row>
    <row r="213" spans="26:26" ht="15" customHeight="1" x14ac:dyDescent="0.45">
      <c r="Z213" s="1"/>
    </row>
    <row r="214" spans="26:26" ht="15" customHeight="1" x14ac:dyDescent="0.45">
      <c r="Z214" s="1"/>
    </row>
    <row r="215" spans="26:26" ht="15" customHeight="1" x14ac:dyDescent="0.45">
      <c r="Z215" s="1"/>
    </row>
    <row r="216" spans="26:26" ht="15" customHeight="1" x14ac:dyDescent="0.45">
      <c r="Z216" s="1"/>
    </row>
    <row r="217" spans="26:26" ht="15" customHeight="1" x14ac:dyDescent="0.45">
      <c r="Z217" s="1"/>
    </row>
    <row r="218" spans="26:26" ht="15" customHeight="1" x14ac:dyDescent="0.45">
      <c r="Z218" s="1"/>
    </row>
    <row r="219" spans="26:26" ht="15" customHeight="1" x14ac:dyDescent="0.45">
      <c r="Z219" s="1"/>
    </row>
    <row r="220" spans="26:26" ht="15" customHeight="1" x14ac:dyDescent="0.45">
      <c r="Z220" s="1"/>
    </row>
    <row r="221" spans="26:26" ht="15" customHeight="1" x14ac:dyDescent="0.45">
      <c r="Z221" s="1"/>
    </row>
    <row r="222" spans="26:26" ht="15" customHeight="1" x14ac:dyDescent="0.45">
      <c r="Z222" s="1"/>
    </row>
    <row r="223" spans="26:26" ht="15" customHeight="1" x14ac:dyDescent="0.45">
      <c r="Z223" s="1"/>
    </row>
    <row r="224" spans="26:26" ht="15" customHeight="1" x14ac:dyDescent="0.45">
      <c r="Z224" s="1"/>
    </row>
    <row r="225" spans="26:26" ht="15" customHeight="1" x14ac:dyDescent="0.45">
      <c r="Z225" s="1"/>
    </row>
    <row r="226" spans="26:26" ht="15" customHeight="1" x14ac:dyDescent="0.45">
      <c r="Z226" s="1"/>
    </row>
    <row r="227" spans="26:26" ht="15" customHeight="1" x14ac:dyDescent="0.45">
      <c r="Z227" s="1"/>
    </row>
    <row r="228" spans="26:26" ht="15" customHeight="1" x14ac:dyDescent="0.45">
      <c r="Z228" s="1"/>
    </row>
    <row r="229" spans="26:26" ht="15" customHeight="1" x14ac:dyDescent="0.45">
      <c r="Z229" s="1"/>
    </row>
    <row r="230" spans="26:26" ht="15" customHeight="1" x14ac:dyDescent="0.45">
      <c r="Z230" s="1"/>
    </row>
    <row r="231" spans="26:26" ht="15" customHeight="1" x14ac:dyDescent="0.45">
      <c r="Z231" s="1"/>
    </row>
    <row r="232" spans="26:26" ht="15" customHeight="1" x14ac:dyDescent="0.45">
      <c r="Z232" s="1"/>
    </row>
    <row r="233" spans="26:26" ht="15" customHeight="1" x14ac:dyDescent="0.45">
      <c r="Z233" s="1"/>
    </row>
    <row r="234" spans="26:26" ht="15" customHeight="1" x14ac:dyDescent="0.45">
      <c r="Z234" s="1"/>
    </row>
    <row r="235" spans="26:26" ht="15" customHeight="1" x14ac:dyDescent="0.45">
      <c r="Z235" s="1"/>
    </row>
    <row r="236" spans="26:26" ht="15" customHeight="1" x14ac:dyDescent="0.45">
      <c r="Z236" s="1"/>
    </row>
    <row r="237" spans="26:26" ht="15" customHeight="1" x14ac:dyDescent="0.45">
      <c r="Z237" s="1"/>
    </row>
    <row r="238" spans="26:26" ht="15" customHeight="1" x14ac:dyDescent="0.45">
      <c r="Z238" s="1"/>
    </row>
    <row r="239" spans="26:26" ht="15" customHeight="1" x14ac:dyDescent="0.45">
      <c r="Z239" s="1"/>
    </row>
    <row r="240" spans="26:26" ht="15" customHeight="1" x14ac:dyDescent="0.45">
      <c r="Z240" s="1"/>
    </row>
    <row r="241" spans="26:26" ht="15" customHeight="1" x14ac:dyDescent="0.45">
      <c r="Z241" s="1"/>
    </row>
    <row r="242" spans="26:26" ht="15" customHeight="1" x14ac:dyDescent="0.45">
      <c r="Z242" s="1"/>
    </row>
    <row r="243" spans="26:26" ht="15" customHeight="1" x14ac:dyDescent="0.45">
      <c r="Z243" s="1"/>
    </row>
    <row r="244" spans="26:26" ht="15" customHeight="1" x14ac:dyDescent="0.45">
      <c r="Z244" s="1"/>
    </row>
    <row r="245" spans="26:26" ht="15" customHeight="1" x14ac:dyDescent="0.45">
      <c r="Z245" s="1"/>
    </row>
    <row r="246" spans="26:26" ht="15" customHeight="1" x14ac:dyDescent="0.45">
      <c r="Z246" s="1"/>
    </row>
    <row r="247" spans="26:26" ht="15" customHeight="1" x14ac:dyDescent="0.45">
      <c r="Z247" s="1"/>
    </row>
    <row r="248" spans="26:26" ht="15" customHeight="1" x14ac:dyDescent="0.45">
      <c r="Z248" s="1"/>
    </row>
    <row r="249" spans="26:26" ht="15" customHeight="1" x14ac:dyDescent="0.45">
      <c r="Z249" s="1"/>
    </row>
    <row r="250" spans="26:26" ht="15" customHeight="1" x14ac:dyDescent="0.45">
      <c r="Z250" s="1"/>
    </row>
    <row r="251" spans="26:26" ht="15" customHeight="1" x14ac:dyDescent="0.45">
      <c r="Z251" s="1"/>
    </row>
    <row r="252" spans="26:26" ht="15" customHeight="1" x14ac:dyDescent="0.45">
      <c r="Z252" s="1"/>
    </row>
    <row r="253" spans="26:26" ht="15" customHeight="1" x14ac:dyDescent="0.45">
      <c r="Z253" s="1"/>
    </row>
    <row r="254" spans="26:26" ht="15" customHeight="1" x14ac:dyDescent="0.45">
      <c r="Z254" s="1"/>
    </row>
    <row r="255" spans="26:26" ht="15" customHeight="1" x14ac:dyDescent="0.45">
      <c r="Z255" s="1"/>
    </row>
    <row r="256" spans="26:26" ht="15" customHeight="1" x14ac:dyDescent="0.45">
      <c r="Z256" s="1"/>
    </row>
    <row r="257" spans="26:26" ht="15" customHeight="1" x14ac:dyDescent="0.45">
      <c r="Z257" s="1"/>
    </row>
    <row r="258" spans="26:26" ht="15" customHeight="1" x14ac:dyDescent="0.45">
      <c r="Z258" s="1"/>
    </row>
    <row r="259" spans="26:26" ht="15" customHeight="1" x14ac:dyDescent="0.45">
      <c r="Z259" s="1"/>
    </row>
    <row r="260" spans="26:26" ht="15" customHeight="1" x14ac:dyDescent="0.45">
      <c r="Z260" s="1"/>
    </row>
    <row r="261" spans="26:26" ht="15" customHeight="1" x14ac:dyDescent="0.45">
      <c r="Z261" s="1"/>
    </row>
    <row r="262" spans="26:26" ht="15" customHeight="1" x14ac:dyDescent="0.45">
      <c r="Z262" s="1"/>
    </row>
    <row r="263" spans="26:26" ht="15" customHeight="1" x14ac:dyDescent="0.45">
      <c r="Z263" s="1"/>
    </row>
    <row r="264" spans="26:26" ht="15" customHeight="1" x14ac:dyDescent="0.45">
      <c r="Z264" s="1"/>
    </row>
    <row r="265" spans="26:26" ht="15" customHeight="1" x14ac:dyDescent="0.45">
      <c r="Z265" s="1"/>
    </row>
    <row r="266" spans="26:26" ht="15" customHeight="1" x14ac:dyDescent="0.45">
      <c r="Z266" s="1"/>
    </row>
    <row r="267" spans="26:26" ht="15" customHeight="1" x14ac:dyDescent="0.45">
      <c r="Z267" s="1"/>
    </row>
    <row r="268" spans="26:26" ht="15" customHeight="1" x14ac:dyDescent="0.45">
      <c r="Z268" s="1"/>
    </row>
    <row r="269" spans="26:26" ht="15" customHeight="1" x14ac:dyDescent="0.45">
      <c r="Z269" s="1"/>
    </row>
    <row r="270" spans="26:26" ht="15" customHeight="1" x14ac:dyDescent="0.45">
      <c r="Z270" s="1"/>
    </row>
    <row r="271" spans="26:26" ht="15" customHeight="1" x14ac:dyDescent="0.45">
      <c r="Z271" s="1"/>
    </row>
    <row r="272" spans="26:26" ht="15" customHeight="1" x14ac:dyDescent="0.45">
      <c r="Z272" s="1"/>
    </row>
    <row r="273" spans="26:26" ht="15" customHeight="1" x14ac:dyDescent="0.45">
      <c r="Z273" s="1"/>
    </row>
    <row r="274" spans="26:26" ht="15" customHeight="1" x14ac:dyDescent="0.45">
      <c r="Z274" s="1"/>
    </row>
    <row r="275" spans="26:26" ht="15" customHeight="1" x14ac:dyDescent="0.45">
      <c r="Z275" s="1"/>
    </row>
    <row r="276" spans="26:26" ht="15" customHeight="1" x14ac:dyDescent="0.45">
      <c r="Z276" s="1"/>
    </row>
    <row r="277" spans="26:26" ht="15" customHeight="1" x14ac:dyDescent="0.45">
      <c r="Z277" s="1"/>
    </row>
    <row r="278" spans="26:26" ht="15" customHeight="1" x14ac:dyDescent="0.45">
      <c r="Z278" s="1"/>
    </row>
    <row r="279" spans="26:26" ht="15" customHeight="1" x14ac:dyDescent="0.45">
      <c r="Z279" s="1"/>
    </row>
    <row r="280" spans="26:26" ht="15" customHeight="1" x14ac:dyDescent="0.45">
      <c r="Z280" s="1"/>
    </row>
    <row r="281" spans="26:26" ht="15" customHeight="1" x14ac:dyDescent="0.45">
      <c r="Z281" s="1"/>
    </row>
    <row r="282" spans="26:26" ht="15" customHeight="1" x14ac:dyDescent="0.45">
      <c r="Z282" s="1"/>
    </row>
    <row r="283" spans="26:26" ht="15" customHeight="1" x14ac:dyDescent="0.45">
      <c r="Z283" s="1"/>
    </row>
    <row r="284" spans="26:26" ht="15" customHeight="1" x14ac:dyDescent="0.45">
      <c r="Z284" s="1"/>
    </row>
    <row r="285" spans="26:26" ht="15" customHeight="1" x14ac:dyDescent="0.45">
      <c r="Z285" s="1"/>
    </row>
    <row r="286" spans="26:26" ht="15" customHeight="1" x14ac:dyDescent="0.45">
      <c r="Z286" s="1"/>
    </row>
    <row r="287" spans="26:26" ht="15" customHeight="1" x14ac:dyDescent="0.45">
      <c r="Z287" s="1"/>
    </row>
    <row r="288" spans="26:26" ht="15" customHeight="1" x14ac:dyDescent="0.45">
      <c r="Z288" s="1"/>
    </row>
    <row r="289" spans="26:26" ht="15" customHeight="1" x14ac:dyDescent="0.45">
      <c r="Z289" s="1"/>
    </row>
    <row r="290" spans="26:26" ht="15" customHeight="1" x14ac:dyDescent="0.45">
      <c r="Z290" s="1"/>
    </row>
    <row r="291" spans="26:26" ht="15" customHeight="1" x14ac:dyDescent="0.45">
      <c r="Z291" s="1"/>
    </row>
    <row r="292" spans="26:26" ht="15" customHeight="1" x14ac:dyDescent="0.45">
      <c r="Z292" s="1"/>
    </row>
    <row r="293" spans="26:26" ht="15" customHeight="1" x14ac:dyDescent="0.45">
      <c r="Z293" s="1"/>
    </row>
    <row r="294" spans="26:26" ht="15" customHeight="1" x14ac:dyDescent="0.45">
      <c r="Z294" s="1"/>
    </row>
    <row r="295" spans="26:26" ht="15" customHeight="1" x14ac:dyDescent="0.45">
      <c r="Z295" s="1"/>
    </row>
    <row r="296" spans="26:26" ht="15" customHeight="1" x14ac:dyDescent="0.45">
      <c r="Z296" s="1"/>
    </row>
    <row r="297" spans="26:26" ht="15" customHeight="1" x14ac:dyDescent="0.45">
      <c r="Z297" s="1"/>
    </row>
    <row r="298" spans="26:26" ht="15" customHeight="1" x14ac:dyDescent="0.45">
      <c r="Z298" s="1"/>
    </row>
    <row r="299" spans="26:26" ht="15" customHeight="1" x14ac:dyDescent="0.45">
      <c r="Z299" s="1"/>
    </row>
    <row r="300" spans="26:26" ht="15" customHeight="1" x14ac:dyDescent="0.45">
      <c r="Z300" s="1"/>
    </row>
    <row r="301" spans="26:26" ht="15" customHeight="1" x14ac:dyDescent="0.45">
      <c r="Z301" s="1"/>
    </row>
    <row r="302" spans="26:26" ht="15" customHeight="1" x14ac:dyDescent="0.45">
      <c r="Z302" s="1"/>
    </row>
    <row r="303" spans="26:26" ht="15" customHeight="1" x14ac:dyDescent="0.45">
      <c r="Z303" s="1"/>
    </row>
    <row r="304" spans="26:26" ht="15" customHeight="1" x14ac:dyDescent="0.45">
      <c r="Z304" s="1"/>
    </row>
    <row r="305" spans="26:26" ht="15" customHeight="1" x14ac:dyDescent="0.45">
      <c r="Z305" s="1"/>
    </row>
    <row r="306" spans="26:26" ht="15" customHeight="1" x14ac:dyDescent="0.45">
      <c r="Z306" s="1"/>
    </row>
    <row r="307" spans="26:26" ht="15" customHeight="1" x14ac:dyDescent="0.45">
      <c r="Z307" s="1"/>
    </row>
    <row r="308" spans="26:26" ht="15" customHeight="1" x14ac:dyDescent="0.45">
      <c r="Z308" s="1"/>
    </row>
    <row r="309" spans="26:26" ht="15" customHeight="1" x14ac:dyDescent="0.45">
      <c r="Z309" s="1"/>
    </row>
    <row r="310" spans="26:26" ht="15" customHeight="1" x14ac:dyDescent="0.45">
      <c r="Z310" s="1"/>
    </row>
    <row r="311" spans="26:26" ht="15" customHeight="1" x14ac:dyDescent="0.45">
      <c r="Z311" s="1"/>
    </row>
    <row r="312" spans="26:26" ht="15" customHeight="1" x14ac:dyDescent="0.45">
      <c r="Z312" s="1"/>
    </row>
    <row r="313" spans="26:26" ht="15" customHeight="1" x14ac:dyDescent="0.45">
      <c r="Z313" s="1"/>
    </row>
    <row r="314" spans="26:26" ht="15" customHeight="1" x14ac:dyDescent="0.45">
      <c r="Z314" s="1"/>
    </row>
    <row r="315" spans="26:26" ht="15" customHeight="1" x14ac:dyDescent="0.45">
      <c r="Z315" s="1"/>
    </row>
    <row r="316" spans="26:26" ht="15" customHeight="1" x14ac:dyDescent="0.45">
      <c r="Z316" s="1"/>
    </row>
    <row r="317" spans="26:26" ht="15" customHeight="1" x14ac:dyDescent="0.45">
      <c r="Z317" s="1"/>
    </row>
    <row r="318" spans="26:26" ht="15" customHeight="1" x14ac:dyDescent="0.45">
      <c r="Z318" s="1"/>
    </row>
    <row r="319" spans="26:26" ht="15" customHeight="1" x14ac:dyDescent="0.45">
      <c r="Z319" s="1"/>
    </row>
    <row r="320" spans="26:26" ht="15" customHeight="1" x14ac:dyDescent="0.45">
      <c r="Z320" s="1"/>
    </row>
    <row r="321" spans="26:26" ht="15" customHeight="1" x14ac:dyDescent="0.45">
      <c r="Z321" s="1"/>
    </row>
    <row r="322" spans="26:26" ht="15" customHeight="1" x14ac:dyDescent="0.45">
      <c r="Z322" s="1"/>
    </row>
    <row r="323" spans="26:26" ht="15" customHeight="1" x14ac:dyDescent="0.45">
      <c r="Z323" s="1"/>
    </row>
    <row r="324" spans="26:26" ht="15" customHeight="1" x14ac:dyDescent="0.45">
      <c r="Z324" s="1"/>
    </row>
    <row r="325" spans="26:26" ht="15" customHeight="1" x14ac:dyDescent="0.45">
      <c r="Z325" s="1"/>
    </row>
    <row r="326" spans="26:26" ht="15" customHeight="1" x14ac:dyDescent="0.45">
      <c r="Z326" s="1"/>
    </row>
    <row r="327" spans="26:26" ht="15" customHeight="1" x14ac:dyDescent="0.45">
      <c r="Z327" s="1"/>
    </row>
    <row r="328" spans="26:26" ht="15" customHeight="1" x14ac:dyDescent="0.45">
      <c r="Z328" s="1"/>
    </row>
    <row r="329" spans="26:26" ht="15" customHeight="1" x14ac:dyDescent="0.45">
      <c r="Z329" s="1"/>
    </row>
    <row r="330" spans="26:26" ht="15" customHeight="1" x14ac:dyDescent="0.45">
      <c r="Z330" s="1"/>
    </row>
    <row r="331" spans="26:26" ht="15" customHeight="1" x14ac:dyDescent="0.45">
      <c r="Z331" s="1"/>
    </row>
    <row r="332" spans="26:26" ht="15" customHeight="1" x14ac:dyDescent="0.45">
      <c r="Z332" s="1"/>
    </row>
    <row r="333" spans="26:26" ht="15" customHeight="1" x14ac:dyDescent="0.45">
      <c r="Z333" s="1"/>
    </row>
    <row r="334" spans="26:26" ht="15" customHeight="1" x14ac:dyDescent="0.45">
      <c r="Z334" s="1"/>
    </row>
    <row r="335" spans="26:26" ht="15" customHeight="1" x14ac:dyDescent="0.45">
      <c r="Z335" s="1"/>
    </row>
    <row r="336" spans="26:26" ht="15" customHeight="1" x14ac:dyDescent="0.45">
      <c r="Z336" s="1"/>
    </row>
    <row r="337" spans="26:26" ht="15" customHeight="1" x14ac:dyDescent="0.45">
      <c r="Z337" s="1"/>
    </row>
    <row r="338" spans="26:26" ht="15" customHeight="1" x14ac:dyDescent="0.45">
      <c r="Z338" s="1"/>
    </row>
    <row r="339" spans="26:26" ht="15" customHeight="1" x14ac:dyDescent="0.45">
      <c r="Z339" s="1"/>
    </row>
    <row r="340" spans="26:26" ht="15" customHeight="1" x14ac:dyDescent="0.45">
      <c r="Z340" s="1"/>
    </row>
    <row r="341" spans="26:26" ht="15" customHeight="1" x14ac:dyDescent="0.45">
      <c r="Z341" s="1"/>
    </row>
    <row r="342" spans="26:26" ht="15" customHeight="1" x14ac:dyDescent="0.45">
      <c r="Z342" s="1"/>
    </row>
    <row r="343" spans="26:26" ht="15" customHeight="1" x14ac:dyDescent="0.45">
      <c r="Z343" s="1"/>
    </row>
    <row r="344" spans="26:26" ht="15" customHeight="1" x14ac:dyDescent="0.45">
      <c r="Z344" s="1"/>
    </row>
    <row r="345" spans="26:26" ht="15" customHeight="1" x14ac:dyDescent="0.45">
      <c r="Z345" s="1"/>
    </row>
    <row r="346" spans="26:26" ht="15" customHeight="1" x14ac:dyDescent="0.45">
      <c r="Z346" s="1"/>
    </row>
    <row r="347" spans="26:26" ht="15" customHeight="1" x14ac:dyDescent="0.45">
      <c r="Z347" s="1"/>
    </row>
    <row r="348" spans="26:26" ht="15" customHeight="1" x14ac:dyDescent="0.45">
      <c r="Z348" s="1"/>
    </row>
    <row r="349" spans="26:26" ht="15" customHeight="1" x14ac:dyDescent="0.45">
      <c r="Z349" s="1"/>
    </row>
    <row r="350" spans="26:26" ht="15" customHeight="1" x14ac:dyDescent="0.45">
      <c r="Z350" s="1"/>
    </row>
    <row r="351" spans="26:26" ht="15" customHeight="1" x14ac:dyDescent="0.45">
      <c r="Z351" s="1"/>
    </row>
    <row r="352" spans="26:26" ht="15" customHeight="1" x14ac:dyDescent="0.45">
      <c r="Z352" s="1"/>
    </row>
    <row r="353" spans="26:26" ht="15" customHeight="1" x14ac:dyDescent="0.45">
      <c r="Z353" s="1"/>
    </row>
    <row r="354" spans="26:26" ht="15" customHeight="1" x14ac:dyDescent="0.45">
      <c r="Z354" s="1"/>
    </row>
    <row r="355" spans="26:26" ht="15" customHeight="1" x14ac:dyDescent="0.45">
      <c r="Z355" s="1"/>
    </row>
    <row r="356" spans="26:26" ht="15" customHeight="1" x14ac:dyDescent="0.45">
      <c r="Z356" s="1"/>
    </row>
    <row r="357" spans="26:26" ht="15" customHeight="1" x14ac:dyDescent="0.45">
      <c r="Z357" s="1"/>
    </row>
    <row r="358" spans="26:26" ht="15" customHeight="1" x14ac:dyDescent="0.45">
      <c r="Z358" s="1"/>
    </row>
    <row r="359" spans="26:26" ht="15" customHeight="1" x14ac:dyDescent="0.45">
      <c r="Z359" s="1"/>
    </row>
    <row r="360" spans="26:26" ht="15" customHeight="1" x14ac:dyDescent="0.45">
      <c r="Z360" s="1"/>
    </row>
    <row r="361" spans="26:26" ht="15" customHeight="1" x14ac:dyDescent="0.45">
      <c r="Z361" s="1"/>
    </row>
    <row r="362" spans="26:26" ht="15" customHeight="1" x14ac:dyDescent="0.45">
      <c r="Z362" s="1"/>
    </row>
    <row r="363" spans="26:26" ht="15" customHeight="1" x14ac:dyDescent="0.45">
      <c r="Z363" s="1"/>
    </row>
    <row r="364" spans="26:26" ht="15" customHeight="1" x14ac:dyDescent="0.45">
      <c r="Z364" s="1"/>
    </row>
    <row r="365" spans="26:26" ht="15" customHeight="1" x14ac:dyDescent="0.45">
      <c r="Z365" s="1"/>
    </row>
    <row r="366" spans="26:26" ht="15" customHeight="1" x14ac:dyDescent="0.45">
      <c r="Z366" s="1"/>
    </row>
    <row r="367" spans="26:26" ht="15" customHeight="1" x14ac:dyDescent="0.45">
      <c r="Z367" s="1"/>
    </row>
    <row r="368" spans="26:26" ht="15" customHeight="1" x14ac:dyDescent="0.45">
      <c r="Z368" s="1"/>
    </row>
    <row r="369" spans="26:26" ht="15" customHeight="1" x14ac:dyDescent="0.45">
      <c r="Z369" s="1"/>
    </row>
    <row r="370" spans="26:26" ht="15" customHeight="1" x14ac:dyDescent="0.45">
      <c r="Z370" s="1"/>
    </row>
    <row r="371" spans="26:26" ht="15" customHeight="1" x14ac:dyDescent="0.45">
      <c r="Z371" s="1"/>
    </row>
    <row r="372" spans="26:26" ht="15" customHeight="1" x14ac:dyDescent="0.45">
      <c r="Z372" s="1"/>
    </row>
    <row r="373" spans="26:26" ht="15" customHeight="1" x14ac:dyDescent="0.45">
      <c r="Z373" s="1"/>
    </row>
    <row r="374" spans="26:26" ht="15" customHeight="1" x14ac:dyDescent="0.45">
      <c r="Z374" s="1"/>
    </row>
    <row r="375" spans="26:26" ht="15" customHeight="1" x14ac:dyDescent="0.45">
      <c r="Z375" s="1"/>
    </row>
    <row r="376" spans="26:26" ht="15" customHeight="1" x14ac:dyDescent="0.45">
      <c r="Z376" s="1"/>
    </row>
    <row r="377" spans="26:26" ht="15" customHeight="1" x14ac:dyDescent="0.45">
      <c r="Z377" s="1"/>
    </row>
    <row r="378" spans="26:26" ht="15" customHeight="1" x14ac:dyDescent="0.45">
      <c r="Z378" s="1"/>
    </row>
    <row r="379" spans="26:26" ht="15" customHeight="1" x14ac:dyDescent="0.45">
      <c r="Z379" s="1"/>
    </row>
    <row r="380" spans="26:26" ht="15" customHeight="1" x14ac:dyDescent="0.45">
      <c r="Z380" s="1"/>
    </row>
    <row r="381" spans="26:26" ht="15" customHeight="1" x14ac:dyDescent="0.45">
      <c r="Z381" s="1"/>
    </row>
    <row r="382" spans="26:26" ht="15" customHeight="1" x14ac:dyDescent="0.45">
      <c r="Z382" s="1"/>
    </row>
    <row r="383" spans="26:26" ht="15" customHeight="1" x14ac:dyDescent="0.45">
      <c r="Z383" s="1"/>
    </row>
    <row r="384" spans="26:26" ht="15" customHeight="1" x14ac:dyDescent="0.45">
      <c r="Z384" s="1"/>
    </row>
    <row r="385" spans="26:26" ht="15" customHeight="1" x14ac:dyDescent="0.45">
      <c r="Z385" s="1"/>
    </row>
    <row r="386" spans="26:26" ht="15" customHeight="1" x14ac:dyDescent="0.45">
      <c r="Z386" s="1"/>
    </row>
    <row r="387" spans="26:26" ht="15" customHeight="1" x14ac:dyDescent="0.45">
      <c r="Z387" s="1"/>
    </row>
    <row r="388" spans="26:26" ht="15" customHeight="1" x14ac:dyDescent="0.45">
      <c r="Z388" s="1"/>
    </row>
    <row r="389" spans="26:26" ht="15" customHeight="1" x14ac:dyDescent="0.45">
      <c r="Z389" s="1"/>
    </row>
    <row r="390" spans="26:26" ht="15" customHeight="1" x14ac:dyDescent="0.45">
      <c r="Z390" s="1"/>
    </row>
    <row r="391" spans="26:26" ht="15" customHeight="1" x14ac:dyDescent="0.45">
      <c r="Z391" s="1"/>
    </row>
    <row r="392" spans="26:26" ht="15" customHeight="1" x14ac:dyDescent="0.45">
      <c r="Z392" s="1"/>
    </row>
    <row r="393" spans="26:26" ht="15" customHeight="1" x14ac:dyDescent="0.45">
      <c r="Z393" s="1"/>
    </row>
    <row r="394" spans="26:26" ht="15" customHeight="1" x14ac:dyDescent="0.45">
      <c r="Z394" s="1"/>
    </row>
    <row r="395" spans="26:26" ht="15" customHeight="1" x14ac:dyDescent="0.45">
      <c r="Z395" s="1"/>
    </row>
    <row r="396" spans="26:26" ht="15" customHeight="1" x14ac:dyDescent="0.45">
      <c r="Z396" s="1"/>
    </row>
    <row r="397" spans="26:26" ht="15" customHeight="1" x14ac:dyDescent="0.45">
      <c r="Z397" s="1"/>
    </row>
    <row r="398" spans="26:26" ht="15" customHeight="1" x14ac:dyDescent="0.45">
      <c r="Z398" s="1"/>
    </row>
    <row r="399" spans="26:26" ht="15" customHeight="1" x14ac:dyDescent="0.45">
      <c r="Z399" s="1"/>
    </row>
    <row r="400" spans="26:26" ht="15" customHeight="1" x14ac:dyDescent="0.45">
      <c r="Z400" s="1"/>
    </row>
    <row r="401" spans="26:26" ht="15" customHeight="1" x14ac:dyDescent="0.45">
      <c r="Z401" s="1"/>
    </row>
    <row r="402" spans="26:26" ht="15" customHeight="1" x14ac:dyDescent="0.45">
      <c r="Z402" s="1"/>
    </row>
    <row r="403" spans="26:26" ht="15" customHeight="1" x14ac:dyDescent="0.45">
      <c r="Z403" s="1"/>
    </row>
    <row r="404" spans="26:26" ht="15" customHeight="1" x14ac:dyDescent="0.45">
      <c r="Z404" s="1"/>
    </row>
    <row r="405" spans="26:26" ht="15" customHeight="1" x14ac:dyDescent="0.45">
      <c r="Z405" s="1"/>
    </row>
    <row r="406" spans="26:26" ht="15" customHeight="1" x14ac:dyDescent="0.45">
      <c r="Z406" s="1"/>
    </row>
    <row r="407" spans="26:26" ht="15" customHeight="1" x14ac:dyDescent="0.45">
      <c r="Z407" s="1"/>
    </row>
    <row r="408" spans="26:26" ht="15" customHeight="1" x14ac:dyDescent="0.45">
      <c r="Z408" s="1"/>
    </row>
    <row r="409" spans="26:26" ht="15" customHeight="1" x14ac:dyDescent="0.45">
      <c r="Z409" s="1"/>
    </row>
    <row r="410" spans="26:26" ht="15" customHeight="1" x14ac:dyDescent="0.45">
      <c r="Z410" s="1"/>
    </row>
    <row r="411" spans="26:26" ht="15" customHeight="1" x14ac:dyDescent="0.45">
      <c r="Z411" s="1"/>
    </row>
    <row r="412" spans="26:26" ht="15" customHeight="1" x14ac:dyDescent="0.45">
      <c r="Z412" s="1"/>
    </row>
    <row r="413" spans="26:26" ht="15" customHeight="1" x14ac:dyDescent="0.45">
      <c r="Z413" s="1"/>
    </row>
    <row r="414" spans="26:26" ht="15" customHeight="1" x14ac:dyDescent="0.45">
      <c r="Z414" s="1"/>
    </row>
    <row r="415" spans="26:26" ht="15" customHeight="1" x14ac:dyDescent="0.45">
      <c r="Z415" s="1"/>
    </row>
    <row r="416" spans="26:26" ht="15" customHeight="1" x14ac:dyDescent="0.45">
      <c r="Z416" s="1"/>
    </row>
    <row r="417" spans="26:26" ht="15" customHeight="1" x14ac:dyDescent="0.45">
      <c r="Z417" s="1"/>
    </row>
    <row r="418" spans="26:26" ht="15" customHeight="1" x14ac:dyDescent="0.45">
      <c r="Z418" s="1"/>
    </row>
    <row r="419" spans="26:26" ht="15" customHeight="1" x14ac:dyDescent="0.45">
      <c r="Z419" s="1"/>
    </row>
    <row r="420" spans="26:26" ht="15" customHeight="1" x14ac:dyDescent="0.45">
      <c r="Z420" s="1"/>
    </row>
    <row r="421" spans="26:26" ht="15" customHeight="1" x14ac:dyDescent="0.45">
      <c r="Z421" s="1"/>
    </row>
    <row r="422" spans="26:26" ht="15" customHeight="1" x14ac:dyDescent="0.45">
      <c r="Z422" s="1"/>
    </row>
    <row r="423" spans="26:26" ht="15" customHeight="1" x14ac:dyDescent="0.45">
      <c r="Z423" s="1"/>
    </row>
    <row r="424" spans="26:26" ht="15" customHeight="1" x14ac:dyDescent="0.45">
      <c r="Z424" s="1"/>
    </row>
    <row r="425" spans="26:26" ht="15" customHeight="1" x14ac:dyDescent="0.45">
      <c r="Z425" s="1"/>
    </row>
    <row r="426" spans="26:26" ht="15" customHeight="1" x14ac:dyDescent="0.45">
      <c r="Z426" s="1"/>
    </row>
    <row r="427" spans="26:26" ht="15" customHeight="1" x14ac:dyDescent="0.45">
      <c r="Z427" s="1"/>
    </row>
    <row r="428" spans="26:26" ht="15" customHeight="1" x14ac:dyDescent="0.45">
      <c r="Z428" s="1"/>
    </row>
    <row r="429" spans="26:26" ht="15" customHeight="1" x14ac:dyDescent="0.45">
      <c r="Z429" s="1"/>
    </row>
    <row r="430" spans="26:26" ht="15" customHeight="1" x14ac:dyDescent="0.45">
      <c r="Z430" s="1"/>
    </row>
    <row r="431" spans="26:26" ht="15" customHeight="1" x14ac:dyDescent="0.45">
      <c r="Z431" s="1"/>
    </row>
    <row r="432" spans="26:26" ht="15" customHeight="1" x14ac:dyDescent="0.45">
      <c r="Z432" s="1"/>
    </row>
    <row r="433" spans="26:26" ht="15" customHeight="1" x14ac:dyDescent="0.45">
      <c r="Z433" s="1"/>
    </row>
    <row r="434" spans="26:26" ht="15" customHeight="1" x14ac:dyDescent="0.45">
      <c r="Z434" s="1"/>
    </row>
    <row r="435" spans="26:26" ht="15" customHeight="1" x14ac:dyDescent="0.45">
      <c r="Z435" s="1"/>
    </row>
    <row r="436" spans="26:26" ht="15" customHeight="1" x14ac:dyDescent="0.45">
      <c r="Z436" s="1"/>
    </row>
    <row r="437" spans="26:26" ht="15" customHeight="1" x14ac:dyDescent="0.45">
      <c r="Z437" s="1"/>
    </row>
    <row r="438" spans="26:26" ht="15" customHeight="1" x14ac:dyDescent="0.45">
      <c r="Z438" s="1"/>
    </row>
    <row r="439" spans="26:26" ht="15" customHeight="1" x14ac:dyDescent="0.45">
      <c r="Z439" s="1"/>
    </row>
    <row r="440" spans="26:26" ht="15" customHeight="1" x14ac:dyDescent="0.45">
      <c r="Z440" s="1"/>
    </row>
    <row r="441" spans="26:26" ht="15" customHeight="1" x14ac:dyDescent="0.45">
      <c r="Z441" s="1"/>
    </row>
    <row r="442" spans="26:26" ht="15" customHeight="1" x14ac:dyDescent="0.45">
      <c r="Z442" s="1"/>
    </row>
    <row r="443" spans="26:26" ht="15" customHeight="1" x14ac:dyDescent="0.45">
      <c r="Z443" s="1"/>
    </row>
    <row r="444" spans="26:26" ht="15" customHeight="1" x14ac:dyDescent="0.45">
      <c r="Z444" s="1"/>
    </row>
    <row r="445" spans="26:26" ht="15" customHeight="1" x14ac:dyDescent="0.45">
      <c r="Z445" s="1"/>
    </row>
    <row r="446" spans="26:26" ht="15" customHeight="1" x14ac:dyDescent="0.45">
      <c r="Z446" s="1"/>
    </row>
    <row r="447" spans="26:26" ht="15" customHeight="1" x14ac:dyDescent="0.45">
      <c r="Z447" s="1"/>
    </row>
    <row r="448" spans="26:26" ht="15" customHeight="1" x14ac:dyDescent="0.45">
      <c r="Z448" s="1"/>
    </row>
    <row r="449" spans="26:26" ht="15" customHeight="1" x14ac:dyDescent="0.45">
      <c r="Z449" s="1"/>
    </row>
    <row r="450" spans="26:26" ht="15" customHeight="1" x14ac:dyDescent="0.45">
      <c r="Z450" s="1"/>
    </row>
    <row r="451" spans="26:26" ht="15" customHeight="1" x14ac:dyDescent="0.45">
      <c r="Z451" s="1"/>
    </row>
    <row r="452" spans="26:26" ht="15" customHeight="1" x14ac:dyDescent="0.45">
      <c r="Z452" s="1"/>
    </row>
    <row r="453" spans="26:26" ht="15" customHeight="1" x14ac:dyDescent="0.45">
      <c r="Z453" s="1"/>
    </row>
    <row r="454" spans="26:26" ht="15" customHeight="1" x14ac:dyDescent="0.45">
      <c r="Z454" s="1"/>
    </row>
    <row r="455" spans="26:26" ht="15" customHeight="1" x14ac:dyDescent="0.45">
      <c r="Z455" s="1"/>
    </row>
    <row r="456" spans="26:26" ht="15" customHeight="1" x14ac:dyDescent="0.45">
      <c r="Z456" s="1"/>
    </row>
    <row r="457" spans="26:26" ht="15" customHeight="1" x14ac:dyDescent="0.45">
      <c r="Z457" s="1"/>
    </row>
    <row r="458" spans="26:26" ht="15" customHeight="1" x14ac:dyDescent="0.45">
      <c r="Z458" s="1"/>
    </row>
    <row r="459" spans="26:26" ht="15" customHeight="1" x14ac:dyDescent="0.45">
      <c r="Z459" s="1"/>
    </row>
    <row r="460" spans="26:26" ht="15" customHeight="1" x14ac:dyDescent="0.45">
      <c r="Z460" s="1"/>
    </row>
    <row r="461" spans="26:26" ht="15" customHeight="1" x14ac:dyDescent="0.45">
      <c r="Z461" s="1"/>
    </row>
    <row r="462" spans="26:26" ht="15" customHeight="1" x14ac:dyDescent="0.45">
      <c r="Z462" s="1"/>
    </row>
    <row r="463" spans="26:26" ht="15" customHeight="1" x14ac:dyDescent="0.45">
      <c r="Z463" s="1"/>
    </row>
    <row r="464" spans="26:26" ht="15" customHeight="1" x14ac:dyDescent="0.45">
      <c r="Z464" s="1"/>
    </row>
    <row r="465" spans="26:26" ht="15" customHeight="1" x14ac:dyDescent="0.45">
      <c r="Z465" s="1"/>
    </row>
    <row r="466" spans="26:26" ht="15" customHeight="1" x14ac:dyDescent="0.45">
      <c r="Z466" s="1"/>
    </row>
    <row r="467" spans="26:26" ht="15" customHeight="1" x14ac:dyDescent="0.45">
      <c r="Z467" s="1"/>
    </row>
    <row r="468" spans="26:26" ht="15" customHeight="1" x14ac:dyDescent="0.45">
      <c r="Z468" s="1"/>
    </row>
    <row r="469" spans="26:26" ht="15" customHeight="1" x14ac:dyDescent="0.45">
      <c r="Z469" s="1"/>
    </row>
    <row r="470" spans="26:26" ht="15" customHeight="1" x14ac:dyDescent="0.45">
      <c r="Z470" s="1"/>
    </row>
    <row r="471" spans="26:26" ht="15" customHeight="1" x14ac:dyDescent="0.45">
      <c r="Z471" s="1"/>
    </row>
    <row r="472" spans="26:26" ht="15" customHeight="1" x14ac:dyDescent="0.45">
      <c r="Z472" s="1"/>
    </row>
    <row r="473" spans="26:26" ht="15" customHeight="1" x14ac:dyDescent="0.45">
      <c r="Z473" s="1"/>
    </row>
    <row r="474" spans="26:26" ht="15" customHeight="1" x14ac:dyDescent="0.45">
      <c r="Z474" s="1"/>
    </row>
    <row r="475" spans="26:26" ht="15" customHeight="1" x14ac:dyDescent="0.45">
      <c r="Z475" s="1"/>
    </row>
    <row r="476" spans="26:26" ht="15" customHeight="1" x14ac:dyDescent="0.45">
      <c r="Z476" s="1"/>
    </row>
    <row r="477" spans="26:26" ht="15" customHeight="1" x14ac:dyDescent="0.45">
      <c r="Z477" s="1"/>
    </row>
    <row r="478" spans="26:26" ht="15" customHeight="1" x14ac:dyDescent="0.45">
      <c r="Z478" s="1"/>
    </row>
    <row r="479" spans="26:26" ht="15" customHeight="1" x14ac:dyDescent="0.45">
      <c r="Z479" s="1"/>
    </row>
    <row r="480" spans="26:26" ht="15" customHeight="1" x14ac:dyDescent="0.45">
      <c r="Z480" s="1"/>
    </row>
    <row r="481" spans="26:26" ht="15" customHeight="1" x14ac:dyDescent="0.45">
      <c r="Z481" s="1"/>
    </row>
    <row r="482" spans="26:26" ht="15" customHeight="1" x14ac:dyDescent="0.45">
      <c r="Z482" s="1"/>
    </row>
    <row r="483" spans="26:26" ht="15" customHeight="1" x14ac:dyDescent="0.45">
      <c r="Z483" s="1"/>
    </row>
    <row r="484" spans="26:26" ht="15" customHeight="1" x14ac:dyDescent="0.45">
      <c r="Z484" s="1"/>
    </row>
    <row r="485" spans="26:26" ht="15" customHeight="1" x14ac:dyDescent="0.45">
      <c r="Z485" s="1"/>
    </row>
    <row r="486" spans="26:26" ht="15" customHeight="1" x14ac:dyDescent="0.45">
      <c r="Z486" s="1"/>
    </row>
    <row r="487" spans="26:26" ht="15" customHeight="1" x14ac:dyDescent="0.45">
      <c r="Z487" s="1"/>
    </row>
    <row r="488" spans="26:26" ht="15" customHeight="1" x14ac:dyDescent="0.45">
      <c r="Z488" s="1"/>
    </row>
    <row r="489" spans="26:26" ht="15" customHeight="1" x14ac:dyDescent="0.45">
      <c r="Z489" s="1"/>
    </row>
    <row r="490" spans="26:26" ht="15" customHeight="1" x14ac:dyDescent="0.45">
      <c r="Z490" s="1"/>
    </row>
    <row r="491" spans="26:26" ht="15" customHeight="1" x14ac:dyDescent="0.45">
      <c r="Z491" s="1"/>
    </row>
    <row r="492" spans="26:26" ht="15" customHeight="1" x14ac:dyDescent="0.45">
      <c r="Z492" s="1"/>
    </row>
    <row r="493" spans="26:26" ht="15" customHeight="1" x14ac:dyDescent="0.45">
      <c r="Z493" s="1"/>
    </row>
    <row r="494" spans="26:26" ht="15" customHeight="1" x14ac:dyDescent="0.45">
      <c r="Z494" s="1"/>
    </row>
    <row r="495" spans="26:26" ht="15" customHeight="1" x14ac:dyDescent="0.45">
      <c r="Z495" s="1"/>
    </row>
    <row r="496" spans="26:26" ht="15" customHeight="1" x14ac:dyDescent="0.45">
      <c r="Z496" s="1"/>
    </row>
    <row r="497" spans="26:26" ht="15" customHeight="1" x14ac:dyDescent="0.45">
      <c r="Z497" s="1"/>
    </row>
    <row r="498" spans="26:26" ht="15" customHeight="1" x14ac:dyDescent="0.45">
      <c r="Z498" s="1"/>
    </row>
    <row r="499" spans="26:26" ht="15" customHeight="1" x14ac:dyDescent="0.45">
      <c r="Z499" s="1"/>
    </row>
    <row r="500" spans="26:26" ht="15" customHeight="1" x14ac:dyDescent="0.45">
      <c r="Z500" s="1"/>
    </row>
    <row r="501" spans="26:26" ht="15" customHeight="1" x14ac:dyDescent="0.45">
      <c r="Z501" s="1"/>
    </row>
    <row r="502" spans="26:26" ht="15" customHeight="1" x14ac:dyDescent="0.45">
      <c r="Z502" s="1"/>
    </row>
    <row r="503" spans="26:26" ht="15" customHeight="1" x14ac:dyDescent="0.45">
      <c r="Z503" s="1"/>
    </row>
    <row r="504" spans="26:26" ht="15" customHeight="1" x14ac:dyDescent="0.45">
      <c r="Z504" s="1"/>
    </row>
    <row r="505" spans="26:26" ht="15" customHeight="1" x14ac:dyDescent="0.45">
      <c r="Z505" s="1"/>
    </row>
    <row r="506" spans="26:26" ht="15" customHeight="1" x14ac:dyDescent="0.45">
      <c r="Z506" s="1"/>
    </row>
    <row r="507" spans="26:26" ht="15" customHeight="1" x14ac:dyDescent="0.45">
      <c r="Z507" s="1"/>
    </row>
    <row r="508" spans="26:26" ht="15" customHeight="1" x14ac:dyDescent="0.45">
      <c r="Z508" s="1"/>
    </row>
    <row r="509" spans="26:26" ht="15" customHeight="1" x14ac:dyDescent="0.45">
      <c r="Z509" s="1"/>
    </row>
    <row r="510" spans="26:26" ht="15" customHeight="1" x14ac:dyDescent="0.45">
      <c r="Z510" s="1"/>
    </row>
    <row r="511" spans="26:26" ht="15" customHeight="1" x14ac:dyDescent="0.45">
      <c r="Z511" s="1"/>
    </row>
    <row r="512" spans="26:26" ht="15" customHeight="1" x14ac:dyDescent="0.45">
      <c r="Z512" s="1"/>
    </row>
    <row r="513" spans="26:26" ht="15" customHeight="1" x14ac:dyDescent="0.45">
      <c r="Z513" s="1"/>
    </row>
    <row r="514" spans="26:26" ht="15" customHeight="1" x14ac:dyDescent="0.45">
      <c r="Z514" s="1"/>
    </row>
    <row r="515" spans="26:26" ht="15" customHeight="1" x14ac:dyDescent="0.45">
      <c r="Z515" s="1"/>
    </row>
    <row r="516" spans="26:26" ht="15" customHeight="1" x14ac:dyDescent="0.45">
      <c r="Z516" s="1"/>
    </row>
    <row r="517" spans="26:26" ht="15" customHeight="1" x14ac:dyDescent="0.45">
      <c r="Z517" s="1"/>
    </row>
    <row r="518" spans="26:26" ht="15" customHeight="1" x14ac:dyDescent="0.45">
      <c r="Z518" s="1"/>
    </row>
    <row r="519" spans="26:26" ht="15" customHeight="1" x14ac:dyDescent="0.45">
      <c r="Z519" s="1"/>
    </row>
    <row r="520" spans="26:26" ht="15" customHeight="1" x14ac:dyDescent="0.45">
      <c r="Z520" s="1"/>
    </row>
    <row r="521" spans="26:26" ht="15" customHeight="1" x14ac:dyDescent="0.45">
      <c r="Z521" s="1"/>
    </row>
    <row r="522" spans="26:26" ht="15" customHeight="1" x14ac:dyDescent="0.45">
      <c r="Z522" s="1"/>
    </row>
    <row r="523" spans="26:26" ht="15" customHeight="1" x14ac:dyDescent="0.45">
      <c r="Z523" s="1"/>
    </row>
    <row r="524" spans="26:26" ht="15" customHeight="1" x14ac:dyDescent="0.45">
      <c r="Z524" s="1"/>
    </row>
    <row r="525" spans="26:26" ht="15" customHeight="1" x14ac:dyDescent="0.45">
      <c r="Z525" s="1"/>
    </row>
    <row r="526" spans="26:26" ht="15" customHeight="1" x14ac:dyDescent="0.45">
      <c r="Z526" s="1"/>
    </row>
    <row r="527" spans="26:26" ht="15" customHeight="1" x14ac:dyDescent="0.45">
      <c r="Z527" s="1"/>
    </row>
    <row r="528" spans="26:26" ht="15" customHeight="1" x14ac:dyDescent="0.45">
      <c r="Z528" s="1"/>
    </row>
    <row r="529" spans="26:26" ht="15" customHeight="1" x14ac:dyDescent="0.45">
      <c r="Z529" s="1"/>
    </row>
    <row r="530" spans="26:26" ht="15" customHeight="1" x14ac:dyDescent="0.45">
      <c r="Z530" s="1"/>
    </row>
    <row r="531" spans="26:26" ht="15" customHeight="1" x14ac:dyDescent="0.45">
      <c r="Z531" s="1"/>
    </row>
    <row r="532" spans="26:26" ht="15" customHeight="1" x14ac:dyDescent="0.45">
      <c r="Z532" s="1"/>
    </row>
    <row r="533" spans="26:26" ht="15" customHeight="1" x14ac:dyDescent="0.45">
      <c r="Z533" s="1"/>
    </row>
    <row r="534" spans="26:26" ht="15" customHeight="1" x14ac:dyDescent="0.45">
      <c r="Z534" s="1"/>
    </row>
    <row r="535" spans="26:26" ht="15" customHeight="1" x14ac:dyDescent="0.45">
      <c r="Z535" s="1"/>
    </row>
    <row r="536" spans="26:26" ht="15" customHeight="1" x14ac:dyDescent="0.45">
      <c r="Z536" s="1"/>
    </row>
    <row r="537" spans="26:26" ht="15" customHeight="1" x14ac:dyDescent="0.45">
      <c r="Z537" s="1"/>
    </row>
    <row r="538" spans="26:26" ht="15" customHeight="1" x14ac:dyDescent="0.45">
      <c r="Z538" s="1"/>
    </row>
    <row r="539" spans="26:26" ht="15" customHeight="1" x14ac:dyDescent="0.45">
      <c r="Z539" s="1"/>
    </row>
    <row r="540" spans="26:26" ht="15" customHeight="1" x14ac:dyDescent="0.45">
      <c r="Z540" s="1"/>
    </row>
    <row r="541" spans="26:26" ht="15" customHeight="1" x14ac:dyDescent="0.45">
      <c r="Z541" s="1"/>
    </row>
    <row r="542" spans="26:26" ht="15" customHeight="1" x14ac:dyDescent="0.45">
      <c r="Z542" s="1"/>
    </row>
    <row r="543" spans="26:26" ht="15" customHeight="1" x14ac:dyDescent="0.45">
      <c r="Z543" s="1"/>
    </row>
    <row r="544" spans="26:26" ht="15" customHeight="1" x14ac:dyDescent="0.45">
      <c r="Z544" s="1"/>
    </row>
    <row r="545" spans="26:26" ht="15" customHeight="1" x14ac:dyDescent="0.45">
      <c r="Z545" s="1"/>
    </row>
    <row r="546" spans="26:26" ht="15" customHeight="1" x14ac:dyDescent="0.45">
      <c r="Z546" s="1"/>
    </row>
    <row r="547" spans="26:26" ht="15" customHeight="1" x14ac:dyDescent="0.45">
      <c r="Z547" s="1"/>
    </row>
    <row r="548" spans="26:26" ht="15" customHeight="1" x14ac:dyDescent="0.45">
      <c r="Z548" s="1"/>
    </row>
    <row r="549" spans="26:26" ht="15" customHeight="1" x14ac:dyDescent="0.45">
      <c r="Z549" s="1"/>
    </row>
    <row r="550" spans="26:26" ht="15" customHeight="1" x14ac:dyDescent="0.45">
      <c r="Z550" s="1"/>
    </row>
    <row r="551" spans="26:26" ht="15" customHeight="1" x14ac:dyDescent="0.45">
      <c r="Z551" s="1"/>
    </row>
    <row r="552" spans="26:26" ht="15" customHeight="1" x14ac:dyDescent="0.45">
      <c r="Z552" s="1"/>
    </row>
    <row r="553" spans="26:26" ht="15" customHeight="1" x14ac:dyDescent="0.45">
      <c r="Z553" s="1"/>
    </row>
    <row r="554" spans="26:26" ht="15" customHeight="1" x14ac:dyDescent="0.45">
      <c r="Z554" s="1"/>
    </row>
    <row r="555" spans="26:26" ht="15" customHeight="1" x14ac:dyDescent="0.45">
      <c r="Z555" s="1"/>
    </row>
    <row r="556" spans="26:26" ht="15" customHeight="1" x14ac:dyDescent="0.45">
      <c r="Z556" s="1"/>
    </row>
    <row r="557" spans="26:26" ht="15" customHeight="1" x14ac:dyDescent="0.45">
      <c r="Z557" s="1"/>
    </row>
    <row r="558" spans="26:26" ht="15" customHeight="1" x14ac:dyDescent="0.45">
      <c r="Z558" s="1"/>
    </row>
    <row r="559" spans="26:26" ht="15" customHeight="1" x14ac:dyDescent="0.45">
      <c r="Z559" s="1"/>
    </row>
    <row r="560" spans="26:26" ht="15" customHeight="1" x14ac:dyDescent="0.45">
      <c r="Z560" s="1"/>
    </row>
    <row r="561" spans="26:26" ht="15" customHeight="1" x14ac:dyDescent="0.45">
      <c r="Z561" s="1"/>
    </row>
    <row r="562" spans="26:26" ht="15" customHeight="1" x14ac:dyDescent="0.45">
      <c r="Z562" s="1"/>
    </row>
    <row r="563" spans="26:26" ht="15" customHeight="1" x14ac:dyDescent="0.45">
      <c r="Z563" s="1"/>
    </row>
    <row r="564" spans="26:26" ht="15" customHeight="1" x14ac:dyDescent="0.45">
      <c r="Z564" s="1"/>
    </row>
    <row r="565" spans="26:26" ht="15" customHeight="1" x14ac:dyDescent="0.45">
      <c r="Z565" s="1"/>
    </row>
    <row r="566" spans="26:26" ht="15" customHeight="1" x14ac:dyDescent="0.45">
      <c r="Z566" s="1"/>
    </row>
    <row r="567" spans="26:26" ht="15" customHeight="1" x14ac:dyDescent="0.45">
      <c r="Z567" s="1"/>
    </row>
    <row r="568" spans="26:26" ht="15" customHeight="1" x14ac:dyDescent="0.45">
      <c r="Z568" s="1"/>
    </row>
    <row r="569" spans="26:26" ht="15" customHeight="1" x14ac:dyDescent="0.45">
      <c r="Z569" s="1"/>
    </row>
    <row r="570" spans="26:26" ht="15" customHeight="1" x14ac:dyDescent="0.45">
      <c r="Z570" s="1"/>
    </row>
    <row r="571" spans="26:26" ht="15" customHeight="1" x14ac:dyDescent="0.45">
      <c r="Z571" s="1"/>
    </row>
    <row r="572" spans="26:26" ht="15" customHeight="1" x14ac:dyDescent="0.45">
      <c r="Z572" s="1"/>
    </row>
    <row r="573" spans="26:26" ht="15" customHeight="1" x14ac:dyDescent="0.45">
      <c r="Z573" s="1"/>
    </row>
    <row r="574" spans="26:26" ht="15" customHeight="1" x14ac:dyDescent="0.45">
      <c r="Z574" s="1"/>
    </row>
    <row r="575" spans="26:26" ht="15" customHeight="1" x14ac:dyDescent="0.45">
      <c r="Z575" s="1"/>
    </row>
    <row r="576" spans="26:26" ht="15" customHeight="1" x14ac:dyDescent="0.45">
      <c r="Z576" s="1"/>
    </row>
    <row r="577" spans="26:26" ht="15" customHeight="1" x14ac:dyDescent="0.45">
      <c r="Z577" s="1"/>
    </row>
    <row r="578" spans="26:26" ht="15" customHeight="1" x14ac:dyDescent="0.45">
      <c r="Z578" s="1"/>
    </row>
    <row r="579" spans="26:26" ht="15" customHeight="1" x14ac:dyDescent="0.45">
      <c r="Z579" s="1"/>
    </row>
    <row r="580" spans="26:26" ht="15" customHeight="1" x14ac:dyDescent="0.45">
      <c r="Z580" s="1"/>
    </row>
    <row r="581" spans="26:26" ht="15" customHeight="1" x14ac:dyDescent="0.45">
      <c r="Z581" s="1"/>
    </row>
    <row r="582" spans="26:26" ht="15" customHeight="1" x14ac:dyDescent="0.45">
      <c r="Z582" s="1"/>
    </row>
    <row r="583" spans="26:26" ht="15" customHeight="1" x14ac:dyDescent="0.45">
      <c r="Z583" s="1"/>
    </row>
    <row r="584" spans="26:26" ht="15" customHeight="1" x14ac:dyDescent="0.45">
      <c r="Z584" s="1"/>
    </row>
    <row r="585" spans="26:26" ht="15" customHeight="1" x14ac:dyDescent="0.45">
      <c r="Z585" s="1"/>
    </row>
    <row r="586" spans="26:26" ht="15" customHeight="1" x14ac:dyDescent="0.45">
      <c r="Z586" s="1"/>
    </row>
    <row r="587" spans="26:26" ht="15" customHeight="1" x14ac:dyDescent="0.45">
      <c r="Z587" s="1"/>
    </row>
    <row r="588" spans="26:26" ht="15" customHeight="1" x14ac:dyDescent="0.45">
      <c r="Z588" s="1"/>
    </row>
    <row r="589" spans="26:26" ht="15" customHeight="1" x14ac:dyDescent="0.45">
      <c r="Z589" s="1"/>
    </row>
    <row r="590" spans="26:26" ht="15" customHeight="1" x14ac:dyDescent="0.45">
      <c r="Z590" s="1"/>
    </row>
    <row r="591" spans="26:26" ht="15" customHeight="1" x14ac:dyDescent="0.45">
      <c r="Z591" s="1"/>
    </row>
    <row r="592" spans="26:26" ht="15" customHeight="1" x14ac:dyDescent="0.45">
      <c r="Z592" s="1"/>
    </row>
    <row r="593" spans="26:26" ht="15" customHeight="1" x14ac:dyDescent="0.45">
      <c r="Z593" s="1"/>
    </row>
    <row r="594" spans="26:26" ht="15" customHeight="1" x14ac:dyDescent="0.45">
      <c r="Z594" s="1"/>
    </row>
    <row r="595" spans="26:26" ht="15" customHeight="1" x14ac:dyDescent="0.45">
      <c r="Z595" s="1"/>
    </row>
    <row r="596" spans="26:26" ht="15" customHeight="1" x14ac:dyDescent="0.45">
      <c r="Z596" s="1"/>
    </row>
    <row r="597" spans="26:26" ht="15" customHeight="1" x14ac:dyDescent="0.45">
      <c r="Z597" s="1"/>
    </row>
    <row r="598" spans="26:26" ht="15" customHeight="1" x14ac:dyDescent="0.45">
      <c r="Z598" s="1"/>
    </row>
    <row r="599" spans="26:26" ht="15" customHeight="1" x14ac:dyDescent="0.45">
      <c r="Z599" s="1"/>
    </row>
    <row r="600" spans="26:26" ht="15" customHeight="1" x14ac:dyDescent="0.45">
      <c r="Z600" s="1"/>
    </row>
    <row r="601" spans="26:26" ht="15" customHeight="1" x14ac:dyDescent="0.45">
      <c r="Z601" s="1"/>
    </row>
    <row r="602" spans="26:26" ht="15" customHeight="1" x14ac:dyDescent="0.45">
      <c r="Z602" s="1"/>
    </row>
    <row r="603" spans="26:26" ht="15" customHeight="1" x14ac:dyDescent="0.45">
      <c r="Z603" s="1"/>
    </row>
    <row r="604" spans="26:26" ht="15" customHeight="1" x14ac:dyDescent="0.45">
      <c r="Z604" s="1"/>
    </row>
    <row r="605" spans="26:26" ht="15" customHeight="1" x14ac:dyDescent="0.45">
      <c r="Z605" s="1"/>
    </row>
    <row r="606" spans="26:26" ht="15" customHeight="1" x14ac:dyDescent="0.45">
      <c r="Z606" s="1"/>
    </row>
    <row r="607" spans="26:26" ht="15" customHeight="1" x14ac:dyDescent="0.45">
      <c r="Z607" s="1"/>
    </row>
    <row r="608" spans="26:26" ht="15" customHeight="1" x14ac:dyDescent="0.45">
      <c r="Z608" s="1"/>
    </row>
    <row r="609" spans="26:26" ht="15" customHeight="1" x14ac:dyDescent="0.45">
      <c r="Z609" s="1"/>
    </row>
    <row r="610" spans="26:26" ht="15" customHeight="1" x14ac:dyDescent="0.45">
      <c r="Z610" s="1"/>
    </row>
    <row r="611" spans="26:26" ht="15" customHeight="1" x14ac:dyDescent="0.45">
      <c r="Z611" s="1"/>
    </row>
    <row r="612" spans="26:26" ht="15" customHeight="1" x14ac:dyDescent="0.45">
      <c r="Z612" s="1"/>
    </row>
    <row r="613" spans="26:26" ht="15" customHeight="1" x14ac:dyDescent="0.45">
      <c r="Z613" s="1"/>
    </row>
    <row r="614" spans="26:26" ht="15" customHeight="1" x14ac:dyDescent="0.45">
      <c r="Z614" s="1"/>
    </row>
    <row r="615" spans="26:26" ht="15" customHeight="1" x14ac:dyDescent="0.45">
      <c r="Z615" s="1"/>
    </row>
    <row r="616" spans="26:26" ht="15" customHeight="1" x14ac:dyDescent="0.45">
      <c r="Z616" s="1"/>
    </row>
    <row r="617" spans="26:26" ht="15" customHeight="1" x14ac:dyDescent="0.45">
      <c r="Z617" s="1"/>
    </row>
    <row r="618" spans="26:26" ht="15" customHeight="1" x14ac:dyDescent="0.45">
      <c r="Z618" s="1"/>
    </row>
    <row r="619" spans="26:26" ht="15" customHeight="1" x14ac:dyDescent="0.45">
      <c r="Z619" s="1"/>
    </row>
    <row r="620" spans="26:26" ht="15" customHeight="1" x14ac:dyDescent="0.45">
      <c r="Z620" s="1"/>
    </row>
    <row r="621" spans="26:26" ht="15" customHeight="1" x14ac:dyDescent="0.45">
      <c r="Z621" s="1"/>
    </row>
    <row r="622" spans="26:26" ht="15" customHeight="1" x14ac:dyDescent="0.45">
      <c r="Z622" s="1"/>
    </row>
    <row r="623" spans="26:26" ht="15" customHeight="1" x14ac:dyDescent="0.45">
      <c r="Z623" s="1"/>
    </row>
    <row r="624" spans="26:26" ht="15" customHeight="1" x14ac:dyDescent="0.45">
      <c r="Z624" s="1"/>
    </row>
    <row r="625" spans="26:26" ht="15" customHeight="1" x14ac:dyDescent="0.45">
      <c r="Z625" s="1"/>
    </row>
    <row r="626" spans="26:26" ht="15" customHeight="1" x14ac:dyDescent="0.45">
      <c r="Z626" s="1"/>
    </row>
    <row r="627" spans="26:26" ht="15" customHeight="1" x14ac:dyDescent="0.45">
      <c r="Z627" s="1"/>
    </row>
    <row r="628" spans="26:26" ht="15" customHeight="1" x14ac:dyDescent="0.45">
      <c r="Z628" s="1"/>
    </row>
    <row r="629" spans="26:26" ht="15" customHeight="1" x14ac:dyDescent="0.45">
      <c r="Z629" s="1"/>
    </row>
    <row r="630" spans="26:26" ht="15" customHeight="1" x14ac:dyDescent="0.45">
      <c r="Z630" s="1"/>
    </row>
    <row r="631" spans="26:26" ht="15" customHeight="1" x14ac:dyDescent="0.45">
      <c r="Z631" s="1"/>
    </row>
    <row r="632" spans="26:26" ht="15" customHeight="1" x14ac:dyDescent="0.45">
      <c r="Z632" s="1"/>
    </row>
    <row r="633" spans="26:26" ht="15" customHeight="1" x14ac:dyDescent="0.45">
      <c r="Z633" s="1"/>
    </row>
    <row r="634" spans="26:26" ht="15" customHeight="1" x14ac:dyDescent="0.45">
      <c r="Z634" s="1"/>
    </row>
    <row r="635" spans="26:26" ht="15" customHeight="1" x14ac:dyDescent="0.45">
      <c r="Z635" s="1"/>
    </row>
    <row r="636" spans="26:26" ht="15" customHeight="1" x14ac:dyDescent="0.45">
      <c r="Z636" s="1"/>
    </row>
    <row r="637" spans="26:26" ht="15" customHeight="1" x14ac:dyDescent="0.45">
      <c r="Z637" s="1"/>
    </row>
    <row r="638" spans="26:26" ht="15" customHeight="1" x14ac:dyDescent="0.45">
      <c r="Z638" s="1"/>
    </row>
    <row r="639" spans="26:26" ht="15" customHeight="1" x14ac:dyDescent="0.45">
      <c r="Z639" s="1"/>
    </row>
    <row r="640" spans="26:26" ht="15" customHeight="1" x14ac:dyDescent="0.45">
      <c r="Z640" s="1"/>
    </row>
    <row r="641" spans="26:26" ht="15" customHeight="1" x14ac:dyDescent="0.45">
      <c r="Z641" s="1"/>
    </row>
    <row r="642" spans="26:26" ht="15" customHeight="1" x14ac:dyDescent="0.45">
      <c r="Z642" s="1"/>
    </row>
    <row r="643" spans="26:26" ht="15" customHeight="1" x14ac:dyDescent="0.45">
      <c r="Z643" s="1"/>
    </row>
    <row r="644" spans="26:26" ht="15" customHeight="1" x14ac:dyDescent="0.45">
      <c r="Z644" s="1"/>
    </row>
    <row r="645" spans="26:26" ht="15" customHeight="1" x14ac:dyDescent="0.45">
      <c r="Z645" s="1"/>
    </row>
    <row r="646" spans="26:26" ht="15" customHeight="1" x14ac:dyDescent="0.45">
      <c r="Z646" s="1"/>
    </row>
    <row r="647" spans="26:26" ht="15" customHeight="1" x14ac:dyDescent="0.45">
      <c r="Z647" s="1"/>
    </row>
    <row r="648" spans="26:26" ht="15" customHeight="1" x14ac:dyDescent="0.45">
      <c r="Z648" s="1"/>
    </row>
    <row r="649" spans="26:26" ht="15" customHeight="1" x14ac:dyDescent="0.45">
      <c r="Z649" s="1"/>
    </row>
    <row r="650" spans="26:26" ht="15" customHeight="1" x14ac:dyDescent="0.45">
      <c r="Z650" s="1"/>
    </row>
    <row r="651" spans="26:26" ht="15" customHeight="1" x14ac:dyDescent="0.45">
      <c r="Z651" s="1"/>
    </row>
    <row r="652" spans="26:26" ht="15" customHeight="1" x14ac:dyDescent="0.45">
      <c r="Z652" s="1"/>
    </row>
    <row r="653" spans="26:26" ht="15" customHeight="1" x14ac:dyDescent="0.45">
      <c r="Z653" s="1"/>
    </row>
    <row r="654" spans="26:26" ht="15" customHeight="1" x14ac:dyDescent="0.45">
      <c r="Z654" s="1"/>
    </row>
    <row r="655" spans="26:26" ht="15" customHeight="1" x14ac:dyDescent="0.45">
      <c r="Z655" s="1"/>
    </row>
    <row r="656" spans="26:26" ht="15" customHeight="1" x14ac:dyDescent="0.45">
      <c r="Z656" s="1"/>
    </row>
    <row r="657" spans="26:26" ht="15" customHeight="1" x14ac:dyDescent="0.45">
      <c r="Z657" s="1"/>
    </row>
    <row r="658" spans="26:26" ht="15" customHeight="1" x14ac:dyDescent="0.45">
      <c r="Z658" s="1"/>
    </row>
    <row r="659" spans="26:26" ht="15" customHeight="1" x14ac:dyDescent="0.45">
      <c r="Z659" s="1"/>
    </row>
    <row r="660" spans="26:26" ht="15" customHeight="1" x14ac:dyDescent="0.45">
      <c r="Z660" s="1"/>
    </row>
    <row r="661" spans="26:26" ht="15" customHeight="1" x14ac:dyDescent="0.45">
      <c r="Z661" s="1"/>
    </row>
    <row r="662" spans="26:26" ht="15" customHeight="1" x14ac:dyDescent="0.45">
      <c r="Z662" s="1"/>
    </row>
    <row r="663" spans="26:26" ht="15" customHeight="1" x14ac:dyDescent="0.45">
      <c r="Z663" s="1"/>
    </row>
    <row r="664" spans="26:26" ht="15" customHeight="1" x14ac:dyDescent="0.45">
      <c r="Z664" s="1"/>
    </row>
    <row r="665" spans="26:26" ht="15" customHeight="1" x14ac:dyDescent="0.45">
      <c r="Z665" s="1"/>
    </row>
    <row r="666" spans="26:26" ht="15" customHeight="1" x14ac:dyDescent="0.45">
      <c r="Z666" s="1"/>
    </row>
    <row r="667" spans="26:26" ht="15" customHeight="1" x14ac:dyDescent="0.45">
      <c r="Z667" s="1"/>
    </row>
    <row r="668" spans="26:26" ht="15" customHeight="1" x14ac:dyDescent="0.45">
      <c r="Z668" s="1"/>
    </row>
    <row r="669" spans="26:26" ht="15" customHeight="1" x14ac:dyDescent="0.45">
      <c r="Z669" s="1"/>
    </row>
    <row r="670" spans="26:26" ht="15" customHeight="1" x14ac:dyDescent="0.45">
      <c r="Z670" s="1"/>
    </row>
    <row r="671" spans="26:26" ht="15" customHeight="1" x14ac:dyDescent="0.45">
      <c r="Z671" s="1"/>
    </row>
    <row r="672" spans="26:26" ht="15" customHeight="1" x14ac:dyDescent="0.45">
      <c r="Z672" s="1"/>
    </row>
    <row r="673" spans="26:26" ht="15" customHeight="1" x14ac:dyDescent="0.45">
      <c r="Z673" s="1"/>
    </row>
    <row r="674" spans="26:26" ht="15" customHeight="1" x14ac:dyDescent="0.45">
      <c r="Z674" s="1"/>
    </row>
    <row r="675" spans="26:26" ht="15" customHeight="1" x14ac:dyDescent="0.45">
      <c r="Z675" s="1"/>
    </row>
    <row r="676" spans="26:26" ht="15" customHeight="1" x14ac:dyDescent="0.45">
      <c r="Z676" s="1"/>
    </row>
    <row r="677" spans="26:26" ht="15" customHeight="1" x14ac:dyDescent="0.45">
      <c r="Z677" s="1"/>
    </row>
    <row r="678" spans="26:26" ht="15" customHeight="1" x14ac:dyDescent="0.45">
      <c r="Z678" s="1"/>
    </row>
    <row r="679" spans="26:26" ht="15" customHeight="1" x14ac:dyDescent="0.45">
      <c r="Z679" s="1"/>
    </row>
    <row r="680" spans="26:26" ht="15" customHeight="1" x14ac:dyDescent="0.45">
      <c r="Z680" s="1"/>
    </row>
    <row r="681" spans="26:26" ht="15" customHeight="1" x14ac:dyDescent="0.45">
      <c r="Z681" s="1"/>
    </row>
    <row r="682" spans="26:26" ht="15" customHeight="1" x14ac:dyDescent="0.45">
      <c r="Z682" s="1"/>
    </row>
    <row r="683" spans="26:26" ht="15" customHeight="1" x14ac:dyDescent="0.45">
      <c r="Z683" s="1"/>
    </row>
    <row r="684" spans="26:26" ht="15" customHeight="1" x14ac:dyDescent="0.45">
      <c r="Z684" s="1"/>
    </row>
    <row r="685" spans="26:26" ht="15" customHeight="1" x14ac:dyDescent="0.45">
      <c r="Z685" s="1"/>
    </row>
    <row r="686" spans="26:26" ht="15" customHeight="1" x14ac:dyDescent="0.45">
      <c r="Z686" s="1"/>
    </row>
    <row r="687" spans="26:26" ht="15" customHeight="1" x14ac:dyDescent="0.45">
      <c r="Z687" s="1"/>
    </row>
    <row r="688" spans="26:26" ht="15" customHeight="1" x14ac:dyDescent="0.45">
      <c r="Z688" s="1"/>
    </row>
    <row r="689" spans="26:26" ht="15" customHeight="1" x14ac:dyDescent="0.45">
      <c r="Z689" s="1"/>
    </row>
    <row r="690" spans="26:26" ht="15" customHeight="1" x14ac:dyDescent="0.45">
      <c r="Z690" s="1"/>
    </row>
    <row r="691" spans="26:26" ht="15" customHeight="1" x14ac:dyDescent="0.45">
      <c r="Z691" s="1"/>
    </row>
    <row r="692" spans="26:26" ht="15" customHeight="1" x14ac:dyDescent="0.45">
      <c r="Z692" s="1"/>
    </row>
    <row r="693" spans="26:26" ht="15" customHeight="1" x14ac:dyDescent="0.45">
      <c r="Z693" s="1"/>
    </row>
    <row r="694" spans="26:26" ht="15" customHeight="1" x14ac:dyDescent="0.45">
      <c r="Z694" s="1"/>
    </row>
    <row r="695" spans="26:26" ht="15" customHeight="1" x14ac:dyDescent="0.45">
      <c r="Z695" s="1"/>
    </row>
    <row r="696" spans="26:26" ht="15" customHeight="1" x14ac:dyDescent="0.45">
      <c r="Z696" s="1"/>
    </row>
    <row r="697" spans="26:26" ht="15" customHeight="1" x14ac:dyDescent="0.45">
      <c r="Z697" s="1"/>
    </row>
    <row r="698" spans="26:26" ht="15" customHeight="1" x14ac:dyDescent="0.45">
      <c r="Z698" s="1"/>
    </row>
    <row r="699" spans="26:26" ht="15" customHeight="1" x14ac:dyDescent="0.45">
      <c r="Z699" s="1"/>
    </row>
    <row r="700" spans="26:26" ht="15" customHeight="1" x14ac:dyDescent="0.45">
      <c r="Z700" s="1"/>
    </row>
    <row r="701" spans="26:26" ht="15" customHeight="1" x14ac:dyDescent="0.45">
      <c r="Z701" s="1"/>
    </row>
    <row r="702" spans="26:26" ht="15" customHeight="1" x14ac:dyDescent="0.45">
      <c r="Z702" s="1"/>
    </row>
    <row r="703" spans="26:26" ht="15" customHeight="1" x14ac:dyDescent="0.45">
      <c r="Z703" s="1"/>
    </row>
    <row r="704" spans="26:26" ht="15" customHeight="1" x14ac:dyDescent="0.45">
      <c r="Z704" s="1"/>
    </row>
    <row r="705" spans="26:26" ht="15" customHeight="1" x14ac:dyDescent="0.45">
      <c r="Z705" s="1"/>
    </row>
    <row r="706" spans="26:26" ht="15" customHeight="1" x14ac:dyDescent="0.45">
      <c r="Z706" s="1"/>
    </row>
    <row r="707" spans="26:26" ht="15" customHeight="1" x14ac:dyDescent="0.45">
      <c r="Z707" s="1"/>
    </row>
    <row r="708" spans="26:26" ht="15" customHeight="1" x14ac:dyDescent="0.45">
      <c r="Z708" s="1"/>
    </row>
    <row r="709" spans="26:26" ht="15" customHeight="1" x14ac:dyDescent="0.45">
      <c r="Z709" s="1"/>
    </row>
    <row r="710" spans="26:26" ht="15" customHeight="1" x14ac:dyDescent="0.45">
      <c r="Z710" s="1"/>
    </row>
    <row r="711" spans="26:26" ht="15" customHeight="1" x14ac:dyDescent="0.45">
      <c r="Z711" s="1"/>
    </row>
    <row r="712" spans="26:26" ht="15" customHeight="1" x14ac:dyDescent="0.45">
      <c r="Z712" s="1"/>
    </row>
    <row r="713" spans="26:26" ht="15" customHeight="1" x14ac:dyDescent="0.45">
      <c r="Z713" s="1"/>
    </row>
    <row r="714" spans="26:26" ht="15" customHeight="1" x14ac:dyDescent="0.45">
      <c r="Z714" s="1"/>
    </row>
    <row r="715" spans="26:26" ht="15" customHeight="1" x14ac:dyDescent="0.45">
      <c r="Z715" s="1"/>
    </row>
    <row r="716" spans="26:26" ht="15" customHeight="1" x14ac:dyDescent="0.45">
      <c r="Z716" s="1"/>
    </row>
    <row r="717" spans="26:26" ht="15" customHeight="1" x14ac:dyDescent="0.45">
      <c r="Z717" s="1"/>
    </row>
    <row r="718" spans="26:26" ht="15" customHeight="1" x14ac:dyDescent="0.45">
      <c r="Z718" s="1"/>
    </row>
    <row r="719" spans="26:26" ht="15" customHeight="1" x14ac:dyDescent="0.45">
      <c r="Z719" s="1"/>
    </row>
    <row r="720" spans="26:26" ht="15" customHeight="1" x14ac:dyDescent="0.45">
      <c r="Z720" s="1"/>
    </row>
    <row r="721" spans="26:26" ht="15" customHeight="1" x14ac:dyDescent="0.45">
      <c r="Z721" s="1"/>
    </row>
    <row r="722" spans="26:26" ht="15" customHeight="1" x14ac:dyDescent="0.45">
      <c r="Z722" s="1"/>
    </row>
    <row r="723" spans="26:26" ht="15" customHeight="1" x14ac:dyDescent="0.45">
      <c r="Z723" s="1"/>
    </row>
    <row r="724" spans="26:26" ht="15" customHeight="1" x14ac:dyDescent="0.45">
      <c r="Z724" s="1"/>
    </row>
    <row r="725" spans="26:26" ht="15" customHeight="1" x14ac:dyDescent="0.45">
      <c r="Z725" s="1"/>
    </row>
  </sheetData>
  <sheetProtection autoFilter="0"/>
  <sortState xmlns:xlrd2="http://schemas.microsoft.com/office/spreadsheetml/2017/richdata2" ref="A3:Y3">
    <sortCondition ref="C3"/>
    <sortCondition ref="E3"/>
  </sortState>
  <phoneticPr fontId="5" type="noConversion"/>
  <conditionalFormatting sqref="A1:A1048576">
    <cfRule type="duplicateValues" dxfId="15" priority="106"/>
  </conditionalFormatting>
  <conditionalFormatting sqref="H1 Y1:Y1048576 H3:H1048576">
    <cfRule type="containsText" dxfId="14" priority="10" operator="containsText" text="actively searching">
      <formula>NOT(ISERROR(SEARCH("actively searching",H1)))</formula>
    </cfRule>
  </conditionalFormatting>
  <conditionalFormatting sqref="N1:N1048576">
    <cfRule type="cellIs" dxfId="13" priority="1161" operator="equal">
      <formula>"Offered"</formula>
    </cfRule>
    <cfRule type="cellIs" dxfId="12" priority="1162" operator="equal">
      <formula>"Offer"</formula>
    </cfRule>
    <cfRule type="cellIs" dxfId="11" priority="1163" operator="equal">
      <formula>#REF!</formula>
    </cfRule>
  </conditionalFormatting>
  <conditionalFormatting sqref="N2:N3 O4:O1048576">
    <cfRule type="cellIs" dxfId="10" priority="361" operator="equal">
      <formula>#REF!</formula>
    </cfRule>
  </conditionalFormatting>
  <conditionalFormatting sqref="N2:N3">
    <cfRule type="containsText" dxfId="9" priority="4" operator="containsText" text="Done">
      <formula>NOT(ISERROR(SEARCH(("Done"),(N2))))</formula>
    </cfRule>
    <cfRule type="containsText" dxfId="8" priority="5" operator="containsText" text="Late">
      <formula>NOT(ISERROR(SEARCH(("Late"),(N2))))</formula>
    </cfRule>
    <cfRule type="containsText" dxfId="7" priority="6" operator="containsText" text="Potential Late">
      <formula>NOT(ISERROR(SEARCH(("Potential Late"),(N2))))</formula>
    </cfRule>
  </conditionalFormatting>
  <dataValidations count="3">
    <dataValidation type="list" allowBlank="1" showErrorMessage="1" sqref="N2" xr:uid="{00000000-0002-0000-0100-000000000000}">
      <formula1>"CV Sent,Interview,Withdraw,Offering,Offer Accepted,Joined,Interview Fail,Offer Rejected"</formula1>
    </dataValidation>
    <dataValidation type="list" allowBlank="1" showInputMessage="1" showErrorMessage="1" sqref="G3:G1048576 G1" xr:uid="{E8F37E52-98D8-4CF3-9A57-38CEBB7BED34}">
      <formula1>"MXV,MXHY,MXHY3,SYT,BU"</formula1>
    </dataValidation>
    <dataValidation type="list" allowBlank="1" showInputMessage="1" showErrorMessage="1" sqref="H1 H3:H1048576" xr:uid="{CB5FC3AD-7463-4405-A0D2-139E369F88BB}">
      <formula1>"OSBU,CSBU,SHARED,LIQUID"</formula1>
    </dataValidation>
  </dataValidations>
  <pageMargins left="0.7" right="0.7" top="0.75" bottom="0.75" header="0" footer="0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6000000}">
          <x14:formula1>
            <xm:f>'Data Validation'!$A$2:$A$17</xm:f>
          </x14:formula1>
          <xm:sqref>C1:C3</xm:sqref>
        </x14:dataValidation>
        <x14:dataValidation type="list" allowBlank="1" showErrorMessage="1" xr:uid="{00000000-0002-0000-0100-000002000000}">
          <x14:formula1>
            <xm:f>'Data Validation'!$F$2:$F$10</xm:f>
          </x14:formula1>
          <xm:sqref>F2:F3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17"/>
  <sheetViews>
    <sheetView zoomScale="77" zoomScaleNormal="77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H18" sqref="H18"/>
    </sheetView>
  </sheetViews>
  <sheetFormatPr defaultColWidth="14.453125" defaultRowHeight="22.4" customHeight="1" x14ac:dyDescent="0.45"/>
  <cols>
    <col min="1" max="1" width="18.08984375" style="76" customWidth="1"/>
    <col min="2" max="2" width="12" style="77" customWidth="1"/>
    <col min="3" max="3" width="22.81640625" style="78" customWidth="1"/>
    <col min="4" max="4" width="31.453125" style="78" customWidth="1"/>
    <col min="5" max="5" width="15.54296875" style="17" customWidth="1"/>
    <col min="6" max="6" width="10.81640625" style="77" customWidth="1"/>
    <col min="7" max="7" width="11.1796875" style="77" customWidth="1"/>
    <col min="8" max="8" width="27.453125" style="78" customWidth="1"/>
    <col min="9" max="9" width="13.453125" style="77" customWidth="1"/>
    <col min="10" max="10" width="18.26953125" style="79" bestFit="1" customWidth="1"/>
    <col min="11" max="11" width="17" style="79" customWidth="1"/>
    <col min="12" max="12" width="8.453125" style="77" customWidth="1"/>
    <col min="13" max="13" width="17.453125" style="77" customWidth="1"/>
    <col min="14" max="14" width="24.54296875" style="76" customWidth="1"/>
    <col min="15" max="15" width="17.453125" style="80" customWidth="1"/>
    <col min="16" max="16" width="21.453125" style="79" customWidth="1"/>
    <col min="17" max="17" width="11.1796875" style="77" customWidth="1"/>
    <col min="18" max="18" width="20.26953125" style="78" customWidth="1"/>
    <col min="19" max="19" width="9.54296875" style="77" customWidth="1"/>
    <col min="20" max="20" width="33.7265625" style="81" customWidth="1"/>
    <col min="21" max="21" width="10.81640625" style="82" customWidth="1"/>
    <col min="22" max="22" width="10.6328125" style="82" customWidth="1"/>
    <col min="23" max="23" width="13.90625" style="70" customWidth="1"/>
    <col min="24" max="24" width="21.54296875" style="28" customWidth="1"/>
    <col min="25" max="25" width="10.54296875" style="28" customWidth="1"/>
    <col min="26" max="26" width="29.453125" style="62" customWidth="1"/>
    <col min="27" max="60" width="14.453125" style="63"/>
    <col min="61" max="16384" width="14.453125" style="9"/>
  </cols>
  <sheetData>
    <row r="1" spans="1:60" s="37" customFormat="1" ht="44.9" customHeight="1" x14ac:dyDescent="0.45">
      <c r="A1" s="52" t="s">
        <v>59</v>
      </c>
      <c r="B1" s="52" t="s">
        <v>60</v>
      </c>
      <c r="C1" s="33" t="s">
        <v>61</v>
      </c>
      <c r="D1" s="33" t="s">
        <v>62</v>
      </c>
      <c r="E1" s="34" t="s">
        <v>63</v>
      </c>
      <c r="F1" s="53" t="s">
        <v>11</v>
      </c>
      <c r="G1" s="33" t="s">
        <v>64</v>
      </c>
      <c r="H1" s="53" t="s">
        <v>6</v>
      </c>
      <c r="I1" s="53" t="s">
        <v>7</v>
      </c>
      <c r="J1" s="53" t="s">
        <v>3</v>
      </c>
      <c r="K1" s="52" t="s">
        <v>9</v>
      </c>
      <c r="L1" s="54" t="s">
        <v>65</v>
      </c>
      <c r="M1" s="52" t="s">
        <v>14</v>
      </c>
      <c r="N1" s="35" t="s">
        <v>66</v>
      </c>
      <c r="O1" s="36" t="s">
        <v>67</v>
      </c>
      <c r="P1" s="52" t="s">
        <v>21</v>
      </c>
      <c r="Q1" s="33" t="s">
        <v>68</v>
      </c>
      <c r="R1" s="52" t="s">
        <v>69</v>
      </c>
      <c r="S1" s="52" t="s">
        <v>70</v>
      </c>
      <c r="T1" s="73" t="s">
        <v>25</v>
      </c>
      <c r="U1" s="73" t="s">
        <v>71</v>
      </c>
      <c r="V1" s="73" t="s">
        <v>72</v>
      </c>
      <c r="W1" s="68" t="s">
        <v>73</v>
      </c>
      <c r="X1" s="36" t="s">
        <v>74</v>
      </c>
      <c r="Y1" s="94" t="s">
        <v>75</v>
      </c>
      <c r="Z1" s="94" t="s">
        <v>76</v>
      </c>
    </row>
    <row r="2" spans="1:60" ht="22.4" customHeight="1" x14ac:dyDescent="0.45">
      <c r="A2" s="15">
        <v>45769</v>
      </c>
      <c r="B2" s="83" t="str">
        <f>IF($G2&lt;&gt;0,VLOOKUP(G2,'IDL tracking'!$A$3:$C$1544,3,0),"")</f>
        <v>AS</v>
      </c>
      <c r="C2" s="85" t="s">
        <v>159</v>
      </c>
      <c r="D2" s="99" t="s">
        <v>175</v>
      </c>
      <c r="E2" s="86" t="s">
        <v>117</v>
      </c>
      <c r="F2" s="71" t="str">
        <f>IF(G2&lt;&gt;0,VLOOKUP(G2,'IDL tracking'!$A$3:$K$1544,11,0),"")</f>
        <v>Annie</v>
      </c>
      <c r="G2" s="96" t="s">
        <v>26</v>
      </c>
      <c r="H2" s="87" t="str">
        <f>IF($G2&lt;&gt;0,VLOOKUP(G2,'IDL tracking'!$A$3:$E$1544,5,0),"")</f>
        <v>Engineer, Production</v>
      </c>
      <c r="I2" s="71" t="str">
        <f>IF($G2&lt;&gt;0,VLOOKUP(G2,'IDL tracking'!$A$3:$F$1544,6,0),"")</f>
        <v>Engineer</v>
      </c>
      <c r="J2" s="87" t="str">
        <f>IF($G2&lt;&gt;0,VLOOKUP(G2,'IDL tracking'!$A$3:$B$1544,2,0),"")</f>
        <v>DSS Talent Connector</v>
      </c>
      <c r="K2" s="84" t="str">
        <f>IF(G2&lt;&gt;0,VLOOKUP(G2,'IDL tracking'!$A$3:$I$1544,9,0),"")</f>
        <v>Nguyễn Lê Hoàng</v>
      </c>
      <c r="L2" s="71" t="str">
        <f>IF($G2&lt;&gt;0,VLOOKUP(G2,'IDL tracking'!$A$3:$G$1544,7,0),"")</f>
        <v>MXV</v>
      </c>
      <c r="M2" s="71" t="s">
        <v>81</v>
      </c>
      <c r="N2" s="88"/>
      <c r="O2" s="89"/>
      <c r="P2" s="87" t="s">
        <v>82</v>
      </c>
      <c r="Q2" s="71"/>
      <c r="R2" s="85"/>
      <c r="S2" s="84"/>
      <c r="T2" s="90"/>
      <c r="U2" s="74"/>
      <c r="V2" s="74"/>
      <c r="W2" s="69">
        <v>45776</v>
      </c>
      <c r="X2" s="42"/>
      <c r="Y2" s="42" t="s">
        <v>78</v>
      </c>
      <c r="Z2" s="50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</row>
    <row r="3" spans="1:60" ht="22.4" customHeight="1" x14ac:dyDescent="0.45">
      <c r="A3" s="15">
        <v>45783</v>
      </c>
      <c r="B3" s="32" t="s">
        <v>27</v>
      </c>
      <c r="C3" s="85" t="s">
        <v>160</v>
      </c>
      <c r="D3" s="99" t="s">
        <v>176</v>
      </c>
      <c r="E3" s="86" t="s">
        <v>191</v>
      </c>
      <c r="F3" s="71" t="str">
        <f>IF(G3&lt;&gt;0,VLOOKUP(G3,'IDL tracking'!$A$3:$K$1544,11,0),"")</f>
        <v>Annie</v>
      </c>
      <c r="G3" s="96" t="s">
        <v>26</v>
      </c>
      <c r="H3" s="87" t="str">
        <f>IF($G3&lt;&gt;0,VLOOKUP(G3,'IDL tracking'!$A$3:$E$1544,5,0),"")</f>
        <v>Engineer, Production</v>
      </c>
      <c r="I3" s="71" t="str">
        <f>IF($G3&lt;&gt;0,VLOOKUP(G3,'IDL tracking'!$A$3:$F$1544,6,0),"")</f>
        <v>Engineer</v>
      </c>
      <c r="J3" s="87" t="str">
        <f>IF($G3&lt;&gt;0,VLOOKUP(G3,'IDL tracking'!$A$3:$B$1544,2,0),"")</f>
        <v>DSS Talent Connector</v>
      </c>
      <c r="K3" s="84" t="str">
        <f>IF(G3&lt;&gt;0,VLOOKUP(G3,'IDL tracking'!$A$3:$I$1544,9,0),"")</f>
        <v>Nguyễn Lê Hoàng</v>
      </c>
      <c r="L3" s="71" t="str">
        <f>IF($G3&lt;&gt;0,VLOOKUP(G3,'IDL tracking'!$A$3:$G$1544,7,0),"")</f>
        <v>MXV</v>
      </c>
      <c r="M3" s="4" t="s">
        <v>86</v>
      </c>
      <c r="N3" s="11"/>
      <c r="O3" s="7"/>
      <c r="P3" s="6" t="s">
        <v>84</v>
      </c>
      <c r="Q3" s="4"/>
      <c r="R3" s="30"/>
      <c r="S3" s="5"/>
      <c r="T3" s="29"/>
      <c r="U3" s="74"/>
      <c r="V3" s="74"/>
      <c r="W3" s="69">
        <v>45790</v>
      </c>
      <c r="X3" s="42"/>
      <c r="Y3" s="42" t="s">
        <v>78</v>
      </c>
      <c r="Z3" s="50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</row>
    <row r="4" spans="1:60" ht="22.4" customHeight="1" x14ac:dyDescent="0.45">
      <c r="A4" s="15">
        <v>45790</v>
      </c>
      <c r="B4" s="32" t="s">
        <v>27</v>
      </c>
      <c r="C4" s="85" t="s">
        <v>161</v>
      </c>
      <c r="D4" s="99" t="s">
        <v>177</v>
      </c>
      <c r="E4" s="86" t="s">
        <v>192</v>
      </c>
      <c r="F4" s="71" t="str">
        <f>IF(G4&lt;&gt;0,VLOOKUP(G4,'IDL tracking'!$A$3:$K$1544,11,0),"")</f>
        <v>Annie</v>
      </c>
      <c r="G4" s="96" t="s">
        <v>26</v>
      </c>
      <c r="H4" s="87" t="str">
        <f>IF($G4&lt;&gt;0,VLOOKUP(G4,'IDL tracking'!$A$3:$E$1544,5,0),"")</f>
        <v>Engineer, Production</v>
      </c>
      <c r="I4" s="71" t="str">
        <f>IF($G4&lt;&gt;0,VLOOKUP(G4,'IDL tracking'!$A$3:$F$1544,6,0),"")</f>
        <v>Engineer</v>
      </c>
      <c r="J4" s="87" t="str">
        <f>IF($G4&lt;&gt;0,VLOOKUP(G4,'IDL tracking'!$A$3:$B$1544,2,0),"")</f>
        <v>DSS Talent Connector</v>
      </c>
      <c r="K4" s="84" t="str">
        <f>IF(G4&lt;&gt;0,VLOOKUP(G4,'IDL tracking'!$A$3:$I$1544,9,0),"")</f>
        <v>Nguyễn Lê Hoàng</v>
      </c>
      <c r="L4" s="71" t="str">
        <f>IF($G4&lt;&gt;0,VLOOKUP(G4,'IDL tracking'!$A$3:$G$1544,7,0),"")</f>
        <v>MXV</v>
      </c>
      <c r="M4" s="4" t="s">
        <v>86</v>
      </c>
      <c r="N4" s="11"/>
      <c r="O4" s="7"/>
      <c r="P4" s="6" t="s">
        <v>82</v>
      </c>
      <c r="Q4" s="4"/>
      <c r="R4" s="30"/>
      <c r="S4" s="5"/>
      <c r="T4" s="29"/>
      <c r="U4" s="74"/>
      <c r="V4" s="74"/>
      <c r="W4" s="69">
        <v>45797</v>
      </c>
      <c r="X4" s="42"/>
      <c r="Y4" s="42" t="s">
        <v>91</v>
      </c>
      <c r="Z4" s="50" t="s">
        <v>108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</row>
    <row r="5" spans="1:60" ht="22.4" customHeight="1" x14ac:dyDescent="0.45">
      <c r="A5" s="15">
        <v>45790</v>
      </c>
      <c r="B5" s="32" t="s">
        <v>27</v>
      </c>
      <c r="C5" s="85" t="s">
        <v>162</v>
      </c>
      <c r="D5" s="99" t="s">
        <v>178</v>
      </c>
      <c r="E5" s="86" t="s">
        <v>193</v>
      </c>
      <c r="F5" s="71" t="str">
        <f>IF(G5&lt;&gt;0,VLOOKUP(G5,'IDL tracking'!$A$3:$K$1544,11,0),"")</f>
        <v>Annie</v>
      </c>
      <c r="G5" s="96" t="s">
        <v>26</v>
      </c>
      <c r="H5" s="87" t="str">
        <f>IF($G5&lt;&gt;0,VLOOKUP(G5,'IDL tracking'!$A$3:$E$1544,5,0),"")</f>
        <v>Engineer, Production</v>
      </c>
      <c r="I5" s="71" t="str">
        <f>IF($G5&lt;&gt;0,VLOOKUP(G5,'IDL tracking'!$A$3:$F$1544,6,0),"")</f>
        <v>Engineer</v>
      </c>
      <c r="J5" s="87" t="str">
        <f>IF($G5&lt;&gt;0,VLOOKUP(G5,'IDL tracking'!$A$3:$B$1544,2,0),"")</f>
        <v>DSS Talent Connector</v>
      </c>
      <c r="K5" s="84" t="str">
        <f>IF(G5&lt;&gt;0,VLOOKUP(G5,'IDL tracking'!$A$3:$I$1544,9,0),"")</f>
        <v>Nguyễn Lê Hoàng</v>
      </c>
      <c r="L5" s="71" t="str">
        <f>IF($G5&lt;&gt;0,VLOOKUP(G5,'IDL tracking'!$A$3:$G$1544,7,0),"")</f>
        <v>MXV</v>
      </c>
      <c r="M5" s="4" t="s">
        <v>0</v>
      </c>
      <c r="N5" s="11"/>
      <c r="O5" s="7"/>
      <c r="P5" s="6" t="s">
        <v>84</v>
      </c>
      <c r="Q5" s="4"/>
      <c r="R5" s="30"/>
      <c r="S5" s="5"/>
      <c r="T5" s="29"/>
      <c r="U5" s="74"/>
      <c r="V5" s="74"/>
      <c r="W5" s="69">
        <v>45797</v>
      </c>
      <c r="X5" s="42"/>
      <c r="Y5" s="42" t="s">
        <v>78</v>
      </c>
      <c r="Z5" s="50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22.4" customHeight="1" x14ac:dyDescent="0.45">
      <c r="A6" s="15">
        <v>45868</v>
      </c>
      <c r="B6" s="32" t="s">
        <v>27</v>
      </c>
      <c r="C6" s="85" t="s">
        <v>163</v>
      </c>
      <c r="D6" s="99" t="s">
        <v>179</v>
      </c>
      <c r="E6" s="86" t="s">
        <v>194</v>
      </c>
      <c r="F6" s="71" t="str">
        <f>IF(G6&lt;&gt;0,VLOOKUP(G6,'IDL tracking'!$A$3:$K$1544,11,0),"")</f>
        <v>Annie</v>
      </c>
      <c r="G6" s="96" t="s">
        <v>26</v>
      </c>
      <c r="H6" s="87" t="str">
        <f>IF($G6&lt;&gt;0,VLOOKUP(G6,'IDL tracking'!$A$3:$E$1544,5,0),"")</f>
        <v>Engineer, Production</v>
      </c>
      <c r="I6" s="71" t="str">
        <f>IF($G6&lt;&gt;0,VLOOKUP(G6,'IDL tracking'!$A$3:$F$1544,6,0),"")</f>
        <v>Engineer</v>
      </c>
      <c r="J6" s="87" t="str">
        <f>IF($G6&lt;&gt;0,VLOOKUP(G6,'IDL tracking'!$A$3:$B$1544,2,0),"")</f>
        <v>DSS Talent Connector</v>
      </c>
      <c r="K6" s="84" t="str">
        <f>IF(G6&lt;&gt;0,VLOOKUP(G6,'IDL tracking'!$A$3:$I$1544,9,0),"")</f>
        <v>Nguyễn Lê Hoàng</v>
      </c>
      <c r="L6" s="71" t="str">
        <f>IF($G6&lt;&gt;0,VLOOKUP(G6,'IDL tracking'!$A$3:$G$1544,7,0),"")</f>
        <v>MXV</v>
      </c>
      <c r="M6" s="4" t="s">
        <v>86</v>
      </c>
      <c r="N6" s="11"/>
      <c r="O6" s="7"/>
      <c r="P6" s="6" t="s">
        <v>83</v>
      </c>
      <c r="Q6" s="4"/>
      <c r="R6" s="30"/>
      <c r="S6" s="5"/>
      <c r="T6" s="29"/>
      <c r="U6" s="74"/>
      <c r="V6" s="74"/>
      <c r="W6" s="69">
        <v>45875</v>
      </c>
      <c r="X6" s="42"/>
      <c r="Y6" s="42" t="s">
        <v>78</v>
      </c>
      <c r="Z6" s="50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ht="22.4" customHeight="1" x14ac:dyDescent="0.45">
      <c r="A7" s="15">
        <v>45868</v>
      </c>
      <c r="B7" s="32" t="s">
        <v>27</v>
      </c>
      <c r="C7" s="85" t="s">
        <v>164</v>
      </c>
      <c r="D7" s="99" t="s">
        <v>180</v>
      </c>
      <c r="E7" s="86" t="s">
        <v>195</v>
      </c>
      <c r="F7" s="71" t="str">
        <f>IF(G7&lt;&gt;0,VLOOKUP(G7,'IDL tracking'!$A$3:$K$1544,11,0),"")</f>
        <v>Annie</v>
      </c>
      <c r="G7" s="96" t="s">
        <v>26</v>
      </c>
      <c r="H7" s="87" t="str">
        <f>IF($G7&lt;&gt;0,VLOOKUP(G7,'IDL tracking'!$A$3:$E$1544,5,0),"")</f>
        <v>Engineer, Production</v>
      </c>
      <c r="I7" s="71" t="str">
        <f>IF($G7&lt;&gt;0,VLOOKUP(G7,'IDL tracking'!$A$3:$F$1544,6,0),"")</f>
        <v>Engineer</v>
      </c>
      <c r="J7" s="87" t="str">
        <f>IF($G7&lt;&gt;0,VLOOKUP(G7,'IDL tracking'!$A$3:$B$1544,2,0),"")</f>
        <v>DSS Talent Connector</v>
      </c>
      <c r="K7" s="84" t="str">
        <f>IF(G7&lt;&gt;0,VLOOKUP(G7,'IDL tracking'!$A$3:$I$1544,9,0),"")</f>
        <v>Nguyễn Lê Hoàng</v>
      </c>
      <c r="L7" s="71" t="str">
        <f>IF($G7&lt;&gt;0,VLOOKUP(G7,'IDL tracking'!$A$3:$G$1544,7,0),"")</f>
        <v>MXV</v>
      </c>
      <c r="M7" s="4" t="s">
        <v>0</v>
      </c>
      <c r="N7" s="11"/>
      <c r="O7" s="7"/>
      <c r="P7" s="6" t="s">
        <v>77</v>
      </c>
      <c r="Q7" s="4" t="s">
        <v>156</v>
      </c>
      <c r="R7" s="30" t="s">
        <v>157</v>
      </c>
      <c r="S7" s="5" t="s">
        <v>37</v>
      </c>
      <c r="T7" s="29"/>
      <c r="U7" s="74"/>
      <c r="V7" s="74"/>
      <c r="W7" s="69">
        <v>45875</v>
      </c>
      <c r="X7" s="42"/>
      <c r="Y7" s="42" t="s">
        <v>78</v>
      </c>
      <c r="Z7" s="50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22.4" customHeight="1" x14ac:dyDescent="0.45">
      <c r="A8" s="15">
        <v>45868</v>
      </c>
      <c r="B8" s="32" t="s">
        <v>27</v>
      </c>
      <c r="C8" s="85" t="s">
        <v>165</v>
      </c>
      <c r="D8" s="99" t="s">
        <v>181</v>
      </c>
      <c r="E8" s="86" t="s">
        <v>196</v>
      </c>
      <c r="F8" s="71" t="str">
        <f>IF(G8&lt;&gt;0,VLOOKUP(G8,'IDL tracking'!$A$3:$K$1544,11,0),"")</f>
        <v>Annie</v>
      </c>
      <c r="G8" s="96" t="s">
        <v>26</v>
      </c>
      <c r="H8" s="87" t="str">
        <f>IF($G8&lt;&gt;0,VLOOKUP(G8,'IDL tracking'!$A$3:$E$1544,5,0),"")</f>
        <v>Engineer, Production</v>
      </c>
      <c r="I8" s="71" t="str">
        <f>IF($G8&lt;&gt;0,VLOOKUP(G8,'IDL tracking'!$A$3:$F$1544,6,0),"")</f>
        <v>Engineer</v>
      </c>
      <c r="J8" s="87" t="str">
        <f>IF($G8&lt;&gt;0,VLOOKUP(G8,'IDL tracking'!$A$3:$B$1544,2,0),"")</f>
        <v>DSS Talent Connector</v>
      </c>
      <c r="K8" s="84" t="str">
        <f>IF(G8&lt;&gt;0,VLOOKUP(G8,'IDL tracking'!$A$3:$I$1544,9,0),"")</f>
        <v>Nguyễn Lê Hoàng</v>
      </c>
      <c r="L8" s="71" t="str">
        <f>IF($G8&lt;&gt;0,VLOOKUP(G8,'IDL tracking'!$A$3:$G$1544,7,0),"")</f>
        <v>MXV</v>
      </c>
      <c r="M8" s="4" t="s">
        <v>0</v>
      </c>
      <c r="N8" s="11"/>
      <c r="O8" s="7"/>
      <c r="P8" s="6" t="s">
        <v>88</v>
      </c>
      <c r="Q8" s="4"/>
      <c r="R8" s="30"/>
      <c r="S8" s="5"/>
      <c r="T8" s="29"/>
      <c r="U8" s="74"/>
      <c r="V8" s="74"/>
      <c r="W8" s="69">
        <v>45875</v>
      </c>
      <c r="X8" s="42"/>
      <c r="Y8" s="42" t="s">
        <v>78</v>
      </c>
      <c r="Z8" s="50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</row>
    <row r="9" spans="1:60" ht="22.4" customHeight="1" x14ac:dyDescent="0.45">
      <c r="A9" s="15">
        <v>45869</v>
      </c>
      <c r="B9" s="32" t="s">
        <v>27</v>
      </c>
      <c r="C9" s="85" t="s">
        <v>166</v>
      </c>
      <c r="D9" s="99" t="s">
        <v>182</v>
      </c>
      <c r="E9" s="86" t="s">
        <v>197</v>
      </c>
      <c r="F9" s="71" t="str">
        <f>IF(G9&lt;&gt;0,VLOOKUP(G9,'IDL tracking'!$A$3:$K$1544,11,0),"")</f>
        <v>Annie</v>
      </c>
      <c r="G9" s="96" t="s">
        <v>26</v>
      </c>
      <c r="H9" s="87" t="str">
        <f>IF($G9&lt;&gt;0,VLOOKUP(G9,'IDL tracking'!$A$3:$E$1544,5,0),"")</f>
        <v>Engineer, Production</v>
      </c>
      <c r="I9" s="71" t="str">
        <f>IF($G9&lt;&gt;0,VLOOKUP(G9,'IDL tracking'!$A$3:$F$1544,6,0),"")</f>
        <v>Engineer</v>
      </c>
      <c r="J9" s="87" t="str">
        <f>IF($G9&lt;&gt;0,VLOOKUP(G9,'IDL tracking'!$A$3:$B$1544,2,0),"")</f>
        <v>DSS Talent Connector</v>
      </c>
      <c r="K9" s="84" t="str">
        <f>IF(G9&lt;&gt;0,VLOOKUP(G9,'IDL tracking'!$A$3:$I$1544,9,0),"")</f>
        <v>Nguyễn Lê Hoàng</v>
      </c>
      <c r="L9" s="71" t="str">
        <f>IF($G9&lt;&gt;0,VLOOKUP(G9,'IDL tracking'!$A$3:$G$1544,7,0),"")</f>
        <v>MXV</v>
      </c>
      <c r="M9" s="4" t="s">
        <v>15</v>
      </c>
      <c r="N9" s="11"/>
      <c r="O9" s="7"/>
      <c r="P9" s="6" t="s">
        <v>88</v>
      </c>
      <c r="Q9" s="4"/>
      <c r="R9" s="30"/>
      <c r="S9" s="5"/>
      <c r="T9" s="29"/>
      <c r="U9" s="74"/>
      <c r="V9" s="74"/>
      <c r="W9" s="69">
        <v>45876</v>
      </c>
      <c r="X9" s="42"/>
      <c r="Y9" s="42" t="s">
        <v>78</v>
      </c>
      <c r="Z9" s="50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</row>
    <row r="10" spans="1:60" ht="22.4" customHeight="1" x14ac:dyDescent="0.45">
      <c r="A10" s="15">
        <v>45870</v>
      </c>
      <c r="B10" s="32" t="s">
        <v>27</v>
      </c>
      <c r="C10" s="85" t="s">
        <v>167</v>
      </c>
      <c r="D10" s="99" t="s">
        <v>183</v>
      </c>
      <c r="E10" s="86" t="s">
        <v>198</v>
      </c>
      <c r="F10" s="71" t="str">
        <f>IF(G10&lt;&gt;0,VLOOKUP(G10,'IDL tracking'!$A$3:$K$1544,11,0),"")</f>
        <v>Annie</v>
      </c>
      <c r="G10" s="96" t="s">
        <v>26</v>
      </c>
      <c r="H10" s="87" t="str">
        <f>IF($G10&lt;&gt;0,VLOOKUP(G10,'IDL tracking'!$A$3:$E$1544,5,0),"")</f>
        <v>Engineer, Production</v>
      </c>
      <c r="I10" s="71" t="str">
        <f>IF($G10&lt;&gt;0,VLOOKUP(G10,'IDL tracking'!$A$3:$F$1544,6,0),"")</f>
        <v>Engineer</v>
      </c>
      <c r="J10" s="87" t="str">
        <f>IF($G10&lt;&gt;0,VLOOKUP(G10,'IDL tracking'!$A$3:$B$1544,2,0),"")</f>
        <v>DSS Talent Connector</v>
      </c>
      <c r="K10" s="84" t="str">
        <f>IF(G10&lt;&gt;0,VLOOKUP(G10,'IDL tracking'!$A$3:$I$1544,9,0),"")</f>
        <v>Nguyễn Lê Hoàng</v>
      </c>
      <c r="L10" s="71" t="str">
        <f>IF($G10&lt;&gt;0,VLOOKUP(G10,'IDL tracking'!$A$3:$G$1544,7,0),"")</f>
        <v>MXV</v>
      </c>
      <c r="M10" s="4" t="s">
        <v>16</v>
      </c>
      <c r="N10" s="11"/>
      <c r="O10" s="7"/>
      <c r="P10" s="6" t="s">
        <v>89</v>
      </c>
      <c r="Q10" s="4"/>
      <c r="R10" s="30"/>
      <c r="S10" s="5"/>
      <c r="T10" s="29"/>
      <c r="U10" s="74"/>
      <c r="V10" s="74"/>
      <c r="W10" s="69">
        <v>45877</v>
      </c>
      <c r="X10" s="42"/>
      <c r="Y10" s="42" t="s">
        <v>78</v>
      </c>
      <c r="Z10" s="50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</row>
    <row r="11" spans="1:60" ht="22.4" customHeight="1" x14ac:dyDescent="0.45">
      <c r="A11" s="15">
        <v>45870</v>
      </c>
      <c r="B11" s="32" t="s">
        <v>27</v>
      </c>
      <c r="C11" s="85" t="s">
        <v>168</v>
      </c>
      <c r="D11" s="99" t="s">
        <v>184</v>
      </c>
      <c r="E11" s="86" t="s">
        <v>199</v>
      </c>
      <c r="F11" s="71" t="str">
        <f>IF(G11&lt;&gt;0,VLOOKUP(G11,'IDL tracking'!$A$3:$K$1544,11,0),"")</f>
        <v>Annie</v>
      </c>
      <c r="G11" s="96" t="s">
        <v>26</v>
      </c>
      <c r="H11" s="87" t="str">
        <f>IF($G11&lt;&gt;0,VLOOKUP(G11,'IDL tracking'!$A$3:$E$1544,5,0),"")</f>
        <v>Engineer, Production</v>
      </c>
      <c r="I11" s="71" t="str">
        <f>IF($G11&lt;&gt;0,VLOOKUP(G11,'IDL tracking'!$A$3:$F$1544,6,0),"")</f>
        <v>Engineer</v>
      </c>
      <c r="J11" s="87" t="str">
        <f>IF($G11&lt;&gt;0,VLOOKUP(G11,'IDL tracking'!$A$3:$B$1544,2,0),"")</f>
        <v>DSS Talent Connector</v>
      </c>
      <c r="K11" s="84" t="str">
        <f>IF(G11&lt;&gt;0,VLOOKUP(G11,'IDL tracking'!$A$3:$I$1544,9,0),"")</f>
        <v>Nguyễn Lê Hoàng</v>
      </c>
      <c r="L11" s="71" t="str">
        <f>IF($G11&lt;&gt;0,VLOOKUP(G11,'IDL tracking'!$A$3:$G$1544,7,0),"")</f>
        <v>MXV</v>
      </c>
      <c r="M11" s="4" t="s">
        <v>86</v>
      </c>
      <c r="N11" s="11"/>
      <c r="O11" s="7"/>
      <c r="P11" s="6" t="s">
        <v>83</v>
      </c>
      <c r="Q11" s="4"/>
      <c r="R11" s="30"/>
      <c r="S11" s="5"/>
      <c r="T11" s="29"/>
      <c r="U11" s="74"/>
      <c r="V11" s="74"/>
      <c r="W11" s="69">
        <v>45877</v>
      </c>
      <c r="X11" s="42"/>
      <c r="Y11" s="42" t="s">
        <v>78</v>
      </c>
      <c r="Z11" s="50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spans="1:60" ht="22.4" customHeight="1" x14ac:dyDescent="0.45">
      <c r="A12" s="15">
        <v>45873</v>
      </c>
      <c r="B12" s="32" t="s">
        <v>27</v>
      </c>
      <c r="C12" s="85" t="s">
        <v>169</v>
      </c>
      <c r="D12" s="99" t="s">
        <v>185</v>
      </c>
      <c r="E12" s="86" t="s">
        <v>200</v>
      </c>
      <c r="F12" s="71" t="str">
        <f>IF(G12&lt;&gt;0,VLOOKUP(G12,'IDL tracking'!$A$3:$K$1544,11,0),"")</f>
        <v>Annie</v>
      </c>
      <c r="G12" s="96" t="s">
        <v>26</v>
      </c>
      <c r="H12" s="87" t="str">
        <f>IF($G12&lt;&gt;0,VLOOKUP(G12,'IDL tracking'!$A$3:$E$1544,5,0),"")</f>
        <v>Engineer, Production</v>
      </c>
      <c r="I12" s="71" t="str">
        <f>IF($G12&lt;&gt;0,VLOOKUP(G12,'IDL tracking'!$A$3:$F$1544,6,0),"")</f>
        <v>Engineer</v>
      </c>
      <c r="J12" s="87" t="str">
        <f>IF($G12&lt;&gt;0,VLOOKUP(G12,'IDL tracking'!$A$3:$B$1544,2,0),"")</f>
        <v>DSS Talent Connector</v>
      </c>
      <c r="K12" s="84" t="str">
        <f>IF(G12&lt;&gt;0,VLOOKUP(G12,'IDL tracking'!$A$3:$I$1544,9,0),"")</f>
        <v>Nguyễn Lê Hoàng</v>
      </c>
      <c r="L12" s="71" t="str">
        <f>IF($G12&lt;&gt;0,VLOOKUP(G12,'IDL tracking'!$A$3:$G$1544,7,0),"")</f>
        <v>MXV</v>
      </c>
      <c r="M12" s="4" t="s">
        <v>0</v>
      </c>
      <c r="N12" s="11"/>
      <c r="O12" s="7"/>
      <c r="P12" s="6" t="s">
        <v>89</v>
      </c>
      <c r="Q12" s="4"/>
      <c r="R12" s="30"/>
      <c r="S12" s="5"/>
      <c r="T12" s="29"/>
      <c r="U12" s="74"/>
      <c r="V12" s="74"/>
      <c r="W12" s="69">
        <v>45880</v>
      </c>
      <c r="X12" s="42"/>
      <c r="Y12" s="42" t="s">
        <v>78</v>
      </c>
      <c r="Z12" s="50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</row>
    <row r="13" spans="1:60" ht="22.4" customHeight="1" x14ac:dyDescent="0.45">
      <c r="A13" s="15">
        <v>45874</v>
      </c>
      <c r="B13" s="32" t="s">
        <v>27</v>
      </c>
      <c r="C13" s="85" t="s">
        <v>170</v>
      </c>
      <c r="D13" s="99" t="s">
        <v>186</v>
      </c>
      <c r="E13" s="86" t="s">
        <v>201</v>
      </c>
      <c r="F13" s="71" t="str">
        <f>IF(G13&lt;&gt;0,VLOOKUP(G13,'IDL tracking'!$A$3:$K$1544,11,0),"")</f>
        <v>Annie</v>
      </c>
      <c r="G13" s="96" t="s">
        <v>26</v>
      </c>
      <c r="H13" s="87" t="str">
        <f>IF($G13&lt;&gt;0,VLOOKUP(G13,'IDL tracking'!$A$3:$E$1544,5,0),"")</f>
        <v>Engineer, Production</v>
      </c>
      <c r="I13" s="71" t="str">
        <f>IF($G13&lt;&gt;0,VLOOKUP(G13,'IDL tracking'!$A$3:$F$1544,6,0),"")</f>
        <v>Engineer</v>
      </c>
      <c r="J13" s="87" t="str">
        <f>IF($G13&lt;&gt;0,VLOOKUP(G13,'IDL tracking'!$A$3:$B$1544,2,0),"")</f>
        <v>DSS Talent Connector</v>
      </c>
      <c r="K13" s="84" t="str">
        <f>IF(G13&lt;&gt;0,VLOOKUP(G13,'IDL tracking'!$A$3:$I$1544,9,0),"")</f>
        <v>Nguyễn Lê Hoàng</v>
      </c>
      <c r="L13" s="71" t="str">
        <f>IF($G13&lt;&gt;0,VLOOKUP(G13,'IDL tracking'!$A$3:$G$1544,7,0),"")</f>
        <v>MXV</v>
      </c>
      <c r="M13" s="4" t="s">
        <v>111</v>
      </c>
      <c r="N13" s="11"/>
      <c r="O13" s="7"/>
      <c r="P13" s="6" t="s">
        <v>90</v>
      </c>
      <c r="Q13" s="4"/>
      <c r="R13" s="30"/>
      <c r="S13" s="5"/>
      <c r="T13" s="29"/>
      <c r="U13" s="74"/>
      <c r="V13" s="74"/>
      <c r="W13" s="69">
        <v>45881</v>
      </c>
      <c r="X13" s="42" t="s">
        <v>96</v>
      </c>
      <c r="Y13" s="42" t="s">
        <v>91</v>
      </c>
      <c r="Z13" s="50" t="s">
        <v>97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spans="1:60" ht="22.4" customHeight="1" x14ac:dyDescent="0.45">
      <c r="A14" s="15">
        <v>45874</v>
      </c>
      <c r="B14" s="32" t="s">
        <v>27</v>
      </c>
      <c r="C14" s="85" t="s">
        <v>171</v>
      </c>
      <c r="D14" s="99" t="s">
        <v>187</v>
      </c>
      <c r="E14" s="86" t="s">
        <v>202</v>
      </c>
      <c r="F14" s="71" t="str">
        <f>IF(G14&lt;&gt;0,VLOOKUP(G14,'IDL tracking'!$A$3:$K$1544,11,0),"")</f>
        <v>Annie</v>
      </c>
      <c r="G14" s="96" t="s">
        <v>26</v>
      </c>
      <c r="H14" s="87" t="str">
        <f>IF($G14&lt;&gt;0,VLOOKUP(G14,'IDL tracking'!$A$3:$E$1544,5,0),"")</f>
        <v>Engineer, Production</v>
      </c>
      <c r="I14" s="71" t="str">
        <f>IF($G14&lt;&gt;0,VLOOKUP(G14,'IDL tracking'!$A$3:$F$1544,6,0),"")</f>
        <v>Engineer</v>
      </c>
      <c r="J14" s="87" t="str">
        <f>IF($G14&lt;&gt;0,VLOOKUP(G14,'IDL tracking'!$A$3:$B$1544,2,0),"")</f>
        <v>DSS Talent Connector</v>
      </c>
      <c r="K14" s="84" t="str">
        <f>IF(G14&lt;&gt;0,VLOOKUP(G14,'IDL tracking'!$A$3:$I$1544,9,0),"")</f>
        <v>Nguyễn Lê Hoàng</v>
      </c>
      <c r="L14" s="71" t="str">
        <f>IF($G14&lt;&gt;0,VLOOKUP(G14,'IDL tracking'!$A$3:$G$1544,7,0),"")</f>
        <v>MXV</v>
      </c>
      <c r="M14" s="4" t="s">
        <v>86</v>
      </c>
      <c r="N14" s="11"/>
      <c r="O14" s="7"/>
      <c r="P14" s="6" t="s">
        <v>88</v>
      </c>
      <c r="Q14" s="4"/>
      <c r="R14" s="30"/>
      <c r="S14" s="5"/>
      <c r="T14" s="29"/>
      <c r="U14" s="74"/>
      <c r="V14" s="74"/>
      <c r="W14" s="69">
        <v>45881</v>
      </c>
      <c r="X14" s="42"/>
      <c r="Y14" s="42" t="s">
        <v>78</v>
      </c>
      <c r="Z14" s="50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spans="1:60" ht="22.4" customHeight="1" x14ac:dyDescent="0.45">
      <c r="A15" s="15">
        <v>45880</v>
      </c>
      <c r="B15" s="32" t="s">
        <v>27</v>
      </c>
      <c r="C15" s="85" t="s">
        <v>172</v>
      </c>
      <c r="D15" s="99" t="s">
        <v>188</v>
      </c>
      <c r="E15" s="86" t="s">
        <v>203</v>
      </c>
      <c r="F15" s="71" t="str">
        <f>IF(G15&lt;&gt;0,VLOOKUP(G15,'IDL tracking'!$A$3:$K$1544,11,0),"")</f>
        <v>Annie</v>
      </c>
      <c r="G15" s="96" t="s">
        <v>26</v>
      </c>
      <c r="H15" s="87" t="str">
        <f>IF($G15&lt;&gt;0,VLOOKUP(G15,'IDL tracking'!$A$3:$E$1544,5,0),"")</f>
        <v>Engineer, Production</v>
      </c>
      <c r="I15" s="71" t="str">
        <f>IF($G15&lt;&gt;0,VLOOKUP(G15,'IDL tracking'!$A$3:$F$1544,6,0),"")</f>
        <v>Engineer</v>
      </c>
      <c r="J15" s="87" t="str">
        <f>IF($G15&lt;&gt;0,VLOOKUP(G15,'IDL tracking'!$A$3:$B$1544,2,0),"")</f>
        <v>DSS Talent Connector</v>
      </c>
      <c r="K15" s="84" t="str">
        <f>IF(G15&lt;&gt;0,VLOOKUP(G15,'IDL tracking'!$A$3:$I$1544,9,0),"")</f>
        <v>Nguyễn Lê Hoàng</v>
      </c>
      <c r="L15" s="71" t="str">
        <f>IF($G15&lt;&gt;0,VLOOKUP(G15,'IDL tracking'!$A$3:$G$1544,7,0),"")</f>
        <v>MXV</v>
      </c>
      <c r="M15" s="4" t="s">
        <v>100</v>
      </c>
      <c r="N15" s="11"/>
      <c r="O15" s="7"/>
      <c r="P15" s="6" t="s">
        <v>89</v>
      </c>
      <c r="Q15" s="4"/>
      <c r="R15" s="30"/>
      <c r="S15" s="5"/>
      <c r="T15" s="29"/>
      <c r="U15" s="74"/>
      <c r="V15" s="74"/>
      <c r="W15" s="69">
        <v>45887</v>
      </c>
      <c r="X15" s="42"/>
      <c r="Y15" s="42" t="s">
        <v>78</v>
      </c>
      <c r="Z15" s="50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6" spans="1:60" ht="22.4" customHeight="1" x14ac:dyDescent="0.45">
      <c r="A16" s="15">
        <v>45883</v>
      </c>
      <c r="B16" s="32" t="s">
        <v>27</v>
      </c>
      <c r="C16" s="85" t="s">
        <v>173</v>
      </c>
      <c r="D16" s="99" t="s">
        <v>189</v>
      </c>
      <c r="E16" s="86" t="s">
        <v>204</v>
      </c>
      <c r="F16" s="71" t="str">
        <f>IF(G16&lt;&gt;0,VLOOKUP(G16,'IDL tracking'!$A$3:$K$1544,11,0),"")</f>
        <v>Annie</v>
      </c>
      <c r="G16" s="96" t="s">
        <v>26</v>
      </c>
      <c r="H16" s="87" t="str">
        <f>IF($G16&lt;&gt;0,VLOOKUP(G16,'IDL tracking'!$A$3:$E$1544,5,0),"")</f>
        <v>Engineer, Production</v>
      </c>
      <c r="I16" s="71" t="str">
        <f>IF($G16&lt;&gt;0,VLOOKUP(G16,'IDL tracking'!$A$3:$F$1544,6,0),"")</f>
        <v>Engineer</v>
      </c>
      <c r="J16" s="87" t="str">
        <f>IF($G16&lt;&gt;0,VLOOKUP(G16,'IDL tracking'!$A$3:$B$1544,2,0),"")</f>
        <v>DSS Talent Connector</v>
      </c>
      <c r="K16" s="84" t="str">
        <f>IF(G16&lt;&gt;0,VLOOKUP(G16,'IDL tracking'!$A$3:$I$1544,9,0),"")</f>
        <v>Nguyễn Lê Hoàng</v>
      </c>
      <c r="L16" s="71" t="str">
        <f>IF($G16&lt;&gt;0,VLOOKUP(G16,'IDL tracking'!$A$3:$G$1544,7,0),"")</f>
        <v>MXV</v>
      </c>
      <c r="M16" s="4" t="s">
        <v>19</v>
      </c>
      <c r="N16" s="11">
        <v>45915</v>
      </c>
      <c r="O16" s="7">
        <v>45891</v>
      </c>
      <c r="P16" s="6" t="s">
        <v>80</v>
      </c>
      <c r="Q16" s="4"/>
      <c r="R16" s="30"/>
      <c r="S16" s="5"/>
      <c r="T16" s="29"/>
      <c r="U16" s="74"/>
      <c r="V16" s="74"/>
      <c r="W16" s="69">
        <v>45890</v>
      </c>
      <c r="X16" s="42"/>
      <c r="Y16" s="42" t="s">
        <v>78</v>
      </c>
      <c r="Z16" s="50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</row>
    <row r="17" spans="1:60" ht="22.4" customHeight="1" x14ac:dyDescent="0.45">
      <c r="A17" s="15">
        <v>45885</v>
      </c>
      <c r="B17" s="32" t="s">
        <v>27</v>
      </c>
      <c r="C17" s="85" t="s">
        <v>174</v>
      </c>
      <c r="D17" s="99" t="s">
        <v>190</v>
      </c>
      <c r="E17" s="86" t="s">
        <v>205</v>
      </c>
      <c r="F17" s="71" t="str">
        <f>IF(G17&lt;&gt;0,VLOOKUP(G17,'IDL tracking'!$A$3:$K$1544,11,0),"")</f>
        <v>Annie</v>
      </c>
      <c r="G17" s="96" t="s">
        <v>26</v>
      </c>
      <c r="H17" s="87" t="str">
        <f>IF($G17&lt;&gt;0,VLOOKUP(G17,'IDL tracking'!$A$3:$E$1544,5,0),"")</f>
        <v>Engineer, Production</v>
      </c>
      <c r="I17" s="71" t="str">
        <f>IF($G17&lt;&gt;0,VLOOKUP(G17,'IDL tracking'!$A$3:$F$1544,6,0),"")</f>
        <v>Engineer</v>
      </c>
      <c r="J17" s="87" t="str">
        <f>IF($G17&lt;&gt;0,VLOOKUP(G17,'IDL tracking'!$A$3:$B$1544,2,0),"")</f>
        <v>DSS Talent Connector</v>
      </c>
      <c r="K17" s="84" t="str">
        <f>IF(G17&lt;&gt;0,VLOOKUP(G17,'IDL tracking'!$A$3:$I$1544,9,0),"")</f>
        <v>Nguyễn Lê Hoàng</v>
      </c>
      <c r="L17" s="71" t="str">
        <f>IF($G17&lt;&gt;0,VLOOKUP(G17,'IDL tracking'!$A$3:$G$1544,7,0),"")</f>
        <v>MXV</v>
      </c>
      <c r="M17" s="4" t="s">
        <v>85</v>
      </c>
      <c r="N17" s="11"/>
      <c r="O17" s="7"/>
      <c r="P17" s="6" t="s">
        <v>83</v>
      </c>
      <c r="Q17" s="4"/>
      <c r="R17" s="30"/>
      <c r="S17" s="5"/>
      <c r="T17" s="29"/>
      <c r="U17" s="74"/>
      <c r="V17" s="74"/>
      <c r="W17" s="69">
        <v>45892</v>
      </c>
      <c r="X17" s="42"/>
      <c r="Y17" s="42" t="s">
        <v>78</v>
      </c>
      <c r="Z17" s="50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</row>
  </sheetData>
  <autoFilter ref="A1:Z17" xr:uid="{00000000-0001-0000-0200-000000000000}">
    <sortState xmlns:xlrd2="http://schemas.microsoft.com/office/spreadsheetml/2017/richdata2" ref="A2:Z17">
      <sortCondition sortBy="cellColor" ref="G1:G17" dxfId="42"/>
    </sortState>
  </autoFilter>
  <phoneticPr fontId="0" type="noConversion"/>
  <conditionalFormatting sqref="D1:D17">
    <cfRule type="duplicateValues" dxfId="6" priority="1186"/>
    <cfRule type="duplicateValues" dxfId="5" priority="1187"/>
  </conditionalFormatting>
  <conditionalFormatting sqref="D1:E1048576">
    <cfRule type="duplicateValues" dxfId="4" priority="1164"/>
  </conditionalFormatting>
  <conditionalFormatting sqref="E1 E3:E17">
    <cfRule type="duplicateValues" dxfId="3" priority="1167"/>
    <cfRule type="duplicateValues" dxfId="2" priority="1168"/>
  </conditionalFormatting>
  <conditionalFormatting sqref="E2:E17">
    <cfRule type="duplicateValues" dxfId="1" priority="1"/>
    <cfRule type="duplicateValues" dxfId="0" priority="2"/>
  </conditionalFormatting>
  <dataValidations count="1">
    <dataValidation allowBlank="1" showErrorMessage="1" sqref="Q1 Q3:Q17" xr:uid="{FBCC1881-53C6-49E2-B7A7-B2E40D06F940}"/>
  </dataValidations>
  <hyperlinks>
    <hyperlink ref="D2" r:id="rId1" display="a@gmail.com" xr:uid="{FDCB6087-A62C-4A25-9564-302B283A2AB5}"/>
    <hyperlink ref="D3:D17" r:id="rId2" display="a@gmail.com" xr:uid="{A455797D-8722-467A-B90A-51CD1002AA35}"/>
  </hyperlinks>
  <pageMargins left="0.7" right="0.7" top="0.75" bottom="0.75" header="0" footer="0"/>
  <pageSetup orientation="landscape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2C6BFA-A3D2-4131-8B13-6D96B40D85C6}">
          <x14:formula1>
            <xm:f>'Data Validation'!$J$2:$J$12</xm:f>
          </x14:formula1>
          <xm:sqref>X1:X1048576</xm:sqref>
        </x14:dataValidation>
        <x14:dataValidation type="list" allowBlank="1" showErrorMessage="1" xr:uid="{F91D0545-3C02-4DE5-9F84-66E9D655686A}">
          <x14:formula1>
            <xm:f>'Data Validation'!$E$2:$E$13</xm:f>
          </x14:formula1>
          <xm:sqref>P1:P1048576</xm:sqref>
        </x14:dataValidation>
        <x14:dataValidation type="list" allowBlank="1" showInputMessage="1" showErrorMessage="1" xr:uid="{B870C4F4-BE37-424C-B922-EC5BCAC6D080}">
          <x14:formula1>
            <xm:f>'Data Validation'!$C$2:$C$13</xm:f>
          </x14:formula1>
          <xm:sqref>M1:M1048576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showGridLines="0" topLeftCell="B17" workbookViewId="0">
      <selection activeCell="F29" sqref="F29"/>
    </sheetView>
  </sheetViews>
  <sheetFormatPr defaultColWidth="14.453125" defaultRowHeight="15" customHeight="1" x14ac:dyDescent="0.35"/>
  <cols>
    <col min="1" max="1" width="12.453125" customWidth="1"/>
    <col min="2" max="2" width="10" customWidth="1"/>
    <col min="3" max="3" width="15.453125" customWidth="1"/>
    <col min="4" max="4" width="12" bestFit="1" customWidth="1"/>
    <col min="5" max="5" width="20.453125" customWidth="1"/>
    <col min="6" max="6" width="16" customWidth="1"/>
    <col min="7" max="7" width="16.453125" customWidth="1"/>
    <col min="8" max="9" width="12" customWidth="1"/>
    <col min="10" max="10" width="20.453125" customWidth="1"/>
    <col min="11" max="11" width="10.453125" bestFit="1" customWidth="1"/>
    <col min="12" max="12" width="19.54296875" bestFit="1" customWidth="1"/>
    <col min="13" max="22" width="8.54296875" customWidth="1"/>
  </cols>
  <sheetData>
    <row r="1" spans="1:10" ht="34.5" customHeight="1" x14ac:dyDescent="0.35">
      <c r="A1" t="s">
        <v>118</v>
      </c>
      <c r="B1" s="75" t="s">
        <v>119</v>
      </c>
      <c r="C1" s="75" t="s">
        <v>120</v>
      </c>
      <c r="D1" s="75" t="s">
        <v>121</v>
      </c>
      <c r="E1" s="75" t="s">
        <v>21</v>
      </c>
      <c r="F1" s="75" t="s">
        <v>7</v>
      </c>
      <c r="G1" s="75" t="s">
        <v>122</v>
      </c>
      <c r="H1" s="75" t="s">
        <v>123</v>
      </c>
      <c r="I1" s="75" t="s">
        <v>124</v>
      </c>
      <c r="J1" s="75" t="s">
        <v>74</v>
      </c>
    </row>
    <row r="2" spans="1:10" ht="18" customHeight="1" x14ac:dyDescent="0.35">
      <c r="A2" t="s">
        <v>44</v>
      </c>
      <c r="B2" t="s">
        <v>50</v>
      </c>
      <c r="C2" t="s">
        <v>15</v>
      </c>
      <c r="D2" t="s">
        <v>99</v>
      </c>
      <c r="E2" t="s">
        <v>79</v>
      </c>
      <c r="F2" t="s">
        <v>46</v>
      </c>
      <c r="G2" t="s">
        <v>125</v>
      </c>
      <c r="H2" t="s">
        <v>19</v>
      </c>
      <c r="I2" t="s">
        <v>126</v>
      </c>
      <c r="J2" t="s">
        <v>96</v>
      </c>
    </row>
    <row r="3" spans="1:10" ht="18" customHeight="1" x14ac:dyDescent="0.35">
      <c r="A3" t="s">
        <v>51</v>
      </c>
      <c r="B3" t="s">
        <v>32</v>
      </c>
      <c r="C3" t="s">
        <v>16</v>
      </c>
      <c r="D3" t="s">
        <v>93</v>
      </c>
      <c r="E3" t="s">
        <v>87</v>
      </c>
      <c r="F3" t="s">
        <v>33</v>
      </c>
      <c r="G3" t="s">
        <v>127</v>
      </c>
      <c r="H3" t="s">
        <v>17</v>
      </c>
      <c r="I3" t="s">
        <v>128</v>
      </c>
      <c r="J3" t="s">
        <v>101</v>
      </c>
    </row>
    <row r="4" spans="1:10" ht="18" customHeight="1" x14ac:dyDescent="0.35">
      <c r="A4" t="s">
        <v>45</v>
      </c>
      <c r="B4" t="s">
        <v>34</v>
      </c>
      <c r="C4" t="s">
        <v>86</v>
      </c>
      <c r="D4" t="s">
        <v>103</v>
      </c>
      <c r="E4" t="s">
        <v>82</v>
      </c>
      <c r="F4" t="s">
        <v>29</v>
      </c>
      <c r="G4" t="s">
        <v>129</v>
      </c>
      <c r="H4" t="s">
        <v>58</v>
      </c>
      <c r="I4" t="s">
        <v>116</v>
      </c>
      <c r="J4" t="s">
        <v>94</v>
      </c>
    </row>
    <row r="5" spans="1:10" ht="18" customHeight="1" x14ac:dyDescent="0.35">
      <c r="A5" t="s">
        <v>36</v>
      </c>
      <c r="B5" t="s">
        <v>55</v>
      </c>
      <c r="C5" t="s">
        <v>18</v>
      </c>
      <c r="D5" t="s">
        <v>102</v>
      </c>
      <c r="E5" t="s">
        <v>83</v>
      </c>
      <c r="F5" t="s">
        <v>38</v>
      </c>
      <c r="G5" t="s">
        <v>130</v>
      </c>
      <c r="H5" t="s">
        <v>131</v>
      </c>
      <c r="I5" t="s">
        <v>30</v>
      </c>
      <c r="J5" t="s">
        <v>95</v>
      </c>
    </row>
    <row r="6" spans="1:10" ht="18" customHeight="1" x14ac:dyDescent="0.35">
      <c r="A6" t="s">
        <v>48</v>
      </c>
      <c r="B6" t="s">
        <v>47</v>
      </c>
      <c r="C6" t="s">
        <v>19</v>
      </c>
      <c r="E6" t="s">
        <v>89</v>
      </c>
      <c r="F6" t="s">
        <v>35</v>
      </c>
      <c r="G6" t="s">
        <v>132</v>
      </c>
      <c r="J6" t="s">
        <v>107</v>
      </c>
    </row>
    <row r="7" spans="1:10" ht="18" customHeight="1" x14ac:dyDescent="0.35">
      <c r="A7" t="s">
        <v>37</v>
      </c>
      <c r="C7" t="s">
        <v>0</v>
      </c>
      <c r="E7" t="s">
        <v>88</v>
      </c>
      <c r="F7" t="s">
        <v>104</v>
      </c>
      <c r="G7" t="s">
        <v>133</v>
      </c>
      <c r="J7" t="s">
        <v>113</v>
      </c>
    </row>
    <row r="8" spans="1:10" ht="18" customHeight="1" x14ac:dyDescent="0.35">
      <c r="A8" t="s">
        <v>49</v>
      </c>
      <c r="C8" t="s">
        <v>20</v>
      </c>
      <c r="E8" t="s">
        <v>90</v>
      </c>
      <c r="F8" t="s">
        <v>105</v>
      </c>
      <c r="J8" t="s">
        <v>110</v>
      </c>
    </row>
    <row r="9" spans="1:10" ht="18" customHeight="1" x14ac:dyDescent="0.35">
      <c r="A9" t="s">
        <v>40</v>
      </c>
      <c r="C9" t="s">
        <v>81</v>
      </c>
      <c r="E9" t="s">
        <v>77</v>
      </c>
      <c r="F9" t="s">
        <v>98</v>
      </c>
      <c r="J9" t="s">
        <v>114</v>
      </c>
    </row>
    <row r="10" spans="1:10" ht="18" customHeight="1" x14ac:dyDescent="0.35">
      <c r="A10" t="s">
        <v>53</v>
      </c>
      <c r="C10" t="s">
        <v>85</v>
      </c>
      <c r="E10" t="s">
        <v>57</v>
      </c>
      <c r="F10" t="s">
        <v>41</v>
      </c>
      <c r="J10" t="s">
        <v>106</v>
      </c>
    </row>
    <row r="11" spans="1:10" ht="18" customHeight="1" x14ac:dyDescent="0.35">
      <c r="A11" t="s">
        <v>52</v>
      </c>
      <c r="C11" t="s">
        <v>111</v>
      </c>
      <c r="E11" t="s">
        <v>84</v>
      </c>
      <c r="J11" t="s">
        <v>115</v>
      </c>
    </row>
    <row r="12" spans="1:10" ht="18" customHeight="1" x14ac:dyDescent="0.35">
      <c r="A12" t="s">
        <v>42</v>
      </c>
      <c r="C12" t="s">
        <v>109</v>
      </c>
      <c r="E12" t="s">
        <v>80</v>
      </c>
      <c r="J12" t="s">
        <v>112</v>
      </c>
    </row>
    <row r="13" spans="1:10" ht="18" customHeight="1" x14ac:dyDescent="0.35">
      <c r="A13" t="s">
        <v>134</v>
      </c>
      <c r="C13" t="s">
        <v>100</v>
      </c>
      <c r="E13" t="s">
        <v>92</v>
      </c>
    </row>
    <row r="14" spans="1:10" ht="18" customHeight="1" x14ac:dyDescent="0.35">
      <c r="A14" t="s">
        <v>27</v>
      </c>
    </row>
    <row r="15" spans="1:10" ht="18" customHeight="1" x14ac:dyDescent="0.35">
      <c r="A15" t="s">
        <v>39</v>
      </c>
    </row>
    <row r="16" spans="1:10" ht="18" customHeight="1" x14ac:dyDescent="0.35">
      <c r="A16" t="s">
        <v>54</v>
      </c>
    </row>
    <row r="17" spans="1:4" ht="18" customHeight="1" x14ac:dyDescent="0.35">
      <c r="A17" t="s">
        <v>43</v>
      </c>
    </row>
    <row r="18" spans="1:4" ht="14.25" customHeight="1" x14ac:dyDescent="0.35"/>
    <row r="19" spans="1:4" ht="14.25" customHeight="1" x14ac:dyDescent="0.35">
      <c r="A19" t="s">
        <v>135</v>
      </c>
    </row>
    <row r="20" spans="1:4" ht="14.25" customHeight="1" x14ac:dyDescent="0.35">
      <c r="A20" s="100" t="s">
        <v>136</v>
      </c>
      <c r="B20" t="s">
        <v>137</v>
      </c>
      <c r="C20" t="s">
        <v>138</v>
      </c>
    </row>
    <row r="21" spans="1:4" ht="14.25" customHeight="1" x14ac:dyDescent="0.35">
      <c r="A21" s="100"/>
      <c r="B21" t="s">
        <v>139</v>
      </c>
      <c r="C21" t="s">
        <v>140</v>
      </c>
    </row>
    <row r="22" spans="1:4" ht="14.25" customHeight="1" x14ac:dyDescent="0.35">
      <c r="A22" s="100"/>
      <c r="B22" t="s">
        <v>141</v>
      </c>
      <c r="C22" t="s">
        <v>142</v>
      </c>
    </row>
    <row r="23" spans="1:4" ht="14.25" customHeight="1" x14ac:dyDescent="0.35">
      <c r="A23" s="100"/>
      <c r="B23" t="s">
        <v>143</v>
      </c>
      <c r="C23" t="s">
        <v>144</v>
      </c>
    </row>
    <row r="24" spans="1:4" ht="14.25" customHeight="1" x14ac:dyDescent="0.35">
      <c r="A24" s="100" t="s">
        <v>145</v>
      </c>
      <c r="B24" t="s">
        <v>146</v>
      </c>
      <c r="C24" t="s">
        <v>140</v>
      </c>
    </row>
    <row r="25" spans="1:4" ht="14.25" customHeight="1" x14ac:dyDescent="0.35">
      <c r="A25" s="100"/>
      <c r="B25" t="s">
        <v>147</v>
      </c>
      <c r="C25" t="s">
        <v>138</v>
      </c>
    </row>
    <row r="26" spans="1:4" ht="14.25" customHeight="1" x14ac:dyDescent="0.35"/>
    <row r="27" spans="1:4" ht="14.25" customHeight="1" x14ac:dyDescent="0.35"/>
    <row r="28" spans="1:4" ht="14.25" customHeight="1" x14ac:dyDescent="0.35">
      <c r="A28" t="s">
        <v>148</v>
      </c>
      <c r="B28" s="100" t="s">
        <v>62</v>
      </c>
      <c r="C28" s="100"/>
      <c r="D28" t="s">
        <v>149</v>
      </c>
    </row>
    <row r="29" spans="1:4" ht="21.65" customHeight="1" x14ac:dyDescent="0.35">
      <c r="A29" t="s">
        <v>150</v>
      </c>
      <c r="B29" s="95" t="s">
        <v>151</v>
      </c>
      <c r="D29" s="95" t="s">
        <v>152</v>
      </c>
    </row>
    <row r="30" spans="1:4" ht="29.15" customHeight="1" x14ac:dyDescent="0.35">
      <c r="A30" t="s">
        <v>153</v>
      </c>
      <c r="B30" s="100" t="s">
        <v>154</v>
      </c>
      <c r="C30" s="100"/>
      <c r="D30" t="s">
        <v>155</v>
      </c>
    </row>
  </sheetData>
  <mergeCells count="4">
    <mergeCell ref="A20:A23"/>
    <mergeCell ref="A24:A25"/>
    <mergeCell ref="B30:C30"/>
    <mergeCell ref="B28:C28"/>
  </mergeCells>
  <hyperlinks>
    <hyperlink ref="B29" r:id="rId1" xr:uid="{0D74FB90-ACB7-42B9-8B42-AB444E835E47}"/>
    <hyperlink ref="B30" r:id="rId2" tooltip="mailto:ngocanh.hoang@kochcc.com" display="mailto:ngocanh.hoang@kochcc.com" xr:uid="{B419DC90-D7E0-41EB-811A-EDB2FEC41983}"/>
    <hyperlink ref="D29" r:id="rId3" xr:uid="{DE6721B7-90CB-46B5-BF2E-D7EC0E0A3DB8}"/>
  </hyperlinks>
  <pageMargins left="0.7" right="0.7" top="0.75" bottom="0.75" header="0" footer="0"/>
  <pageSetup orientation="landscape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f78dd5-20ad-4f7b-8ade-18b039b59425" xsi:nil="true"/>
    <lcf76f155ced4ddcb4097134ff3c332f xmlns="4dfe4841-51bc-4542-960b-2d7dcc6c03c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69A8FA2FF4BA3656F12B9C352AD" ma:contentTypeVersion="16" ma:contentTypeDescription="Create a new document." ma:contentTypeScope="" ma:versionID="99fc52efe886cdc222e9f12f4460bd53">
  <xsd:schema xmlns:xsd="http://www.w3.org/2001/XMLSchema" xmlns:xs="http://www.w3.org/2001/XMLSchema" xmlns:p="http://schemas.microsoft.com/office/2006/metadata/properties" xmlns:ns2="4dfe4841-51bc-4542-960b-2d7dcc6c03cd" xmlns:ns3="61f78dd5-20ad-4f7b-8ade-18b039b59425" xmlns:ns4="5e18c75d-b9e4-48fc-97ec-52d6fedab2b7" targetNamespace="http://schemas.microsoft.com/office/2006/metadata/properties" ma:root="true" ma:fieldsID="25741972cbf36951074d698992dd0839" ns2:_="" ns3:_="" ns4:_="">
    <xsd:import namespace="4dfe4841-51bc-4542-960b-2d7dcc6c03cd"/>
    <xsd:import namespace="61f78dd5-20ad-4f7b-8ade-18b039b59425"/>
    <xsd:import namespace="5e18c75d-b9e4-48fc-97ec-52d6fedab2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e4841-51bc-4542-960b-2d7dcc6c0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f874a3f-55a3-4351-b9b0-90e58f5dc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78dd5-20ad-4f7b-8ade-18b039b5942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18bd3f9-6380-476e-9319-e939ec67c1bc}" ma:internalName="TaxCatchAll" ma:showField="CatchAllData" ma:web="5e18c75d-b9e4-48fc-97ec-52d6fedab2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8c75d-b9e4-48fc-97ec-52d6fedab2b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F785C-FD18-4969-A2D8-E5541743A6B8}">
  <ds:schemaRefs>
    <ds:schemaRef ds:uri="http://schemas.microsoft.com/office/2006/metadata/properties"/>
    <ds:schemaRef ds:uri="http://schemas.microsoft.com/office/infopath/2007/PartnerControls"/>
    <ds:schemaRef ds:uri="61f78dd5-20ad-4f7b-8ade-18b039b59425"/>
    <ds:schemaRef ds:uri="4dfe4841-51bc-4542-960b-2d7dcc6c03cd"/>
  </ds:schemaRefs>
</ds:datastoreItem>
</file>

<file path=customXml/itemProps2.xml><?xml version="1.0" encoding="utf-8"?>
<ds:datastoreItem xmlns:ds="http://schemas.openxmlformats.org/officeDocument/2006/customXml" ds:itemID="{29A10A52-50CD-498A-A261-DA3474DFFB2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5A2B48C-E9AE-43DC-A623-3E8FCDA800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CE43A2-AD58-4926-A46F-44DBF0D68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fe4841-51bc-4542-960b-2d7dcc6c03cd"/>
    <ds:schemaRef ds:uri="61f78dd5-20ad-4f7b-8ade-18b039b59425"/>
    <ds:schemaRef ds:uri="5e18c75d-b9e4-48fc-97ec-52d6fedab2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IDL tracking</vt:lpstr>
      <vt:lpstr>Database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Thị Vân Anh</dc:creator>
  <cp:keywords/>
  <dc:description/>
  <cp:lastModifiedBy>DO, HAI</cp:lastModifiedBy>
  <cp:revision/>
  <dcterms:created xsi:type="dcterms:W3CDTF">2023-09-28T15:25:17Z</dcterms:created>
  <dcterms:modified xsi:type="dcterms:W3CDTF">2026-06-10T07:04:30Z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0x0101007527E69A8FA2FF4BA3656F12B9C352AD</vt:lpwstr>
  </property>
  <property fmtid="{D5CDD505-2E9C-101B-9397-08002B2CF9AE}" pid="3" name="MediaServiceImageTags">
    <vt:lpwstr/>
  </property>
</Properties>
</file>